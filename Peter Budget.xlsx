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eterwhitcomb/Documents/Personal/Personal Projects/Financial-Tracker/"/>
    </mc:Choice>
  </mc:AlternateContent>
  <xr:revisionPtr revIDLastSave="0" documentId="13_ncr:1_{77B6D0DC-70DD-B348-997E-25EC6A461C85}" xr6:coauthVersionLast="47" xr6:coauthVersionMax="47" xr10:uidLastSave="{00000000-0000-0000-0000-000000000000}"/>
  <bookViews>
    <workbookView xWindow="160" yWindow="820" windowWidth="34220" windowHeight="19620" xr2:uid="{00000000-000D-0000-FFFF-FFFF00000000}"/>
  </bookViews>
  <sheets>
    <sheet name="Budget 26-27" sheetId="1" r:id="rId1"/>
    <sheet name="Actual 26-27" sheetId="5" r:id="rId2"/>
    <sheet name="455 West 37th Street" sheetId="8" r:id="rId3"/>
    <sheet name="455 West 37th Rent" sheetId="9" r:id="rId4"/>
    <sheet name="Actu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C7pDlhWP20EnnZBEP6MU46nUQGL1Tqc5P2dMa3XOcI="/>
    </ext>
  </extLst>
</workbook>
</file>

<file path=xl/calcChain.xml><?xml version="1.0" encoding="utf-8"?>
<calcChain xmlns="http://schemas.openxmlformats.org/spreadsheetml/2006/main">
  <c r="E21" i="1" l="1"/>
  <c r="J17" i="5"/>
  <c r="K17" i="5"/>
  <c r="L17" i="5"/>
  <c r="M17" i="5"/>
  <c r="N17" i="5"/>
  <c r="O17" i="5"/>
  <c r="P17" i="5"/>
  <c r="Q17" i="5"/>
  <c r="R17" i="5"/>
  <c r="S17" i="5"/>
  <c r="T17" i="5"/>
  <c r="U17" i="5"/>
  <c r="I17" i="5"/>
  <c r="I23" i="5" s="1"/>
  <c r="I25" i="5" s="1"/>
  <c r="I12" i="5"/>
  <c r="I14" i="5" s="1"/>
  <c r="I11" i="5"/>
  <c r="I13" i="5" s="1"/>
  <c r="I8" i="5"/>
  <c r="I7" i="5"/>
  <c r="I11" i="1"/>
  <c r="U5" i="1"/>
  <c r="C8" i="9"/>
  <c r="I14" i="1"/>
  <c r="D19" i="8"/>
  <c r="C19" i="8"/>
  <c r="C13" i="8"/>
  <c r="D6" i="8"/>
  <c r="D21" i="9"/>
  <c r="C20" i="9"/>
  <c r="C26" i="9" s="1"/>
  <c r="C19" i="9"/>
  <c r="C25" i="9" s="1"/>
  <c r="C18" i="9"/>
  <c r="C24" i="9" s="1"/>
  <c r="C14" i="9"/>
  <c r="C17" i="8"/>
  <c r="D16" i="8"/>
  <c r="D15" i="8"/>
  <c r="D14" i="8"/>
  <c r="D13" i="8"/>
  <c r="D17" i="8" s="1"/>
  <c r="C10" i="8"/>
  <c r="D8" i="8"/>
  <c r="D7" i="8"/>
  <c r="E36" i="1"/>
  <c r="E37" i="1" s="1"/>
  <c r="J43" i="5"/>
  <c r="K43" i="5"/>
  <c r="K42" i="5" s="1"/>
  <c r="J42" i="5"/>
  <c r="J41" i="5"/>
  <c r="K41" i="5"/>
  <c r="L43" i="5"/>
  <c r="L42" i="5" s="1"/>
  <c r="L41" i="5"/>
  <c r="N41" i="5"/>
  <c r="U43" i="5"/>
  <c r="T43" i="5"/>
  <c r="S43" i="5"/>
  <c r="R43" i="5"/>
  <c r="Q43" i="5"/>
  <c r="P43" i="5"/>
  <c r="O43" i="5"/>
  <c r="N43" i="5"/>
  <c r="M43" i="5"/>
  <c r="M42" i="5" s="1"/>
  <c r="U41" i="5"/>
  <c r="T41" i="5"/>
  <c r="S41" i="5"/>
  <c r="R41" i="5"/>
  <c r="Q41" i="5"/>
  <c r="P41" i="5"/>
  <c r="O41" i="5"/>
  <c r="M41" i="5"/>
  <c r="J10" i="5"/>
  <c r="K10" i="5"/>
  <c r="L10" i="5"/>
  <c r="M10" i="5"/>
  <c r="N10" i="5"/>
  <c r="O10" i="5"/>
  <c r="P10" i="5"/>
  <c r="Q10" i="5"/>
  <c r="R10" i="5"/>
  <c r="S10" i="5"/>
  <c r="T10" i="5"/>
  <c r="U10" i="5"/>
  <c r="N26" i="5"/>
  <c r="U23" i="5"/>
  <c r="U26" i="5" s="1"/>
  <c r="T23" i="5"/>
  <c r="S23" i="5"/>
  <c r="R23" i="5"/>
  <c r="Q23" i="5"/>
  <c r="Q26" i="5" s="1"/>
  <c r="P23" i="5"/>
  <c r="P26" i="5" s="1"/>
  <c r="O23" i="5"/>
  <c r="N23" i="5"/>
  <c r="M23" i="5"/>
  <c r="L23" i="5"/>
  <c r="J23" i="5"/>
  <c r="K23" i="5"/>
  <c r="C48" i="5"/>
  <c r="E48" i="5"/>
  <c r="F48" i="5"/>
  <c r="C49" i="5"/>
  <c r="F49" i="5"/>
  <c r="C51" i="5"/>
  <c r="C52" i="5"/>
  <c r="E52" i="5"/>
  <c r="C39" i="5"/>
  <c r="D39" i="5"/>
  <c r="C40" i="5"/>
  <c r="D40" i="5"/>
  <c r="C41" i="5"/>
  <c r="D41" i="5"/>
  <c r="C42" i="5"/>
  <c r="C46" i="5"/>
  <c r="C30" i="5"/>
  <c r="E30" i="5"/>
  <c r="F30" i="5"/>
  <c r="C31" i="5"/>
  <c r="E31" i="5"/>
  <c r="C32" i="5"/>
  <c r="E32" i="5"/>
  <c r="C33" i="5"/>
  <c r="E33" i="5"/>
  <c r="C36" i="5"/>
  <c r="C37" i="5"/>
  <c r="C27" i="5"/>
  <c r="E25" i="5"/>
  <c r="C25" i="5"/>
  <c r="C23" i="5"/>
  <c r="C22" i="5"/>
  <c r="C21" i="5"/>
  <c r="F20" i="5"/>
  <c r="C20" i="5"/>
  <c r="D19" i="5"/>
  <c r="C19" i="5"/>
  <c r="E18" i="5"/>
  <c r="C18" i="5"/>
  <c r="F15" i="5"/>
  <c r="C15" i="5"/>
  <c r="C14" i="5"/>
  <c r="C13" i="5"/>
  <c r="F12" i="5"/>
  <c r="C12" i="5"/>
  <c r="D11" i="5"/>
  <c r="C11" i="5"/>
  <c r="E10" i="5"/>
  <c r="C10" i="5"/>
  <c r="D9" i="5"/>
  <c r="C9" i="5"/>
  <c r="C8" i="5"/>
  <c r="D7" i="5"/>
  <c r="C7" i="5"/>
  <c r="E6" i="5"/>
  <c r="C6" i="5"/>
  <c r="L5" i="5"/>
  <c r="M5" i="5" s="1"/>
  <c r="C3" i="5"/>
  <c r="J9" i="1"/>
  <c r="J9" i="5" s="1"/>
  <c r="I33" i="1"/>
  <c r="D42" i="5" s="1"/>
  <c r="I37" i="1"/>
  <c r="E22" i="1" s="1"/>
  <c r="E9" i="1"/>
  <c r="E9" i="5" s="1"/>
  <c r="K8" i="1"/>
  <c r="K8" i="5" s="1"/>
  <c r="E21" i="3"/>
  <c r="J16" i="1"/>
  <c r="C3" i="1"/>
  <c r="F19" i="1"/>
  <c r="F19" i="3" s="1"/>
  <c r="E19" i="1"/>
  <c r="O25" i="1" s="1"/>
  <c r="F32" i="1"/>
  <c r="F32" i="5" s="1"/>
  <c r="F33" i="1"/>
  <c r="F33" i="5" s="1"/>
  <c r="F31" i="1"/>
  <c r="F18" i="1"/>
  <c r="F18" i="5" s="1"/>
  <c r="K16" i="1"/>
  <c r="Y41" i="3"/>
  <c r="X41" i="3"/>
  <c r="W41" i="3"/>
  <c r="V41" i="3"/>
  <c r="U41" i="3"/>
  <c r="T41" i="3"/>
  <c r="S41" i="3"/>
  <c r="R41" i="3"/>
  <c r="Q41" i="3"/>
  <c r="P41" i="3"/>
  <c r="O41" i="3"/>
  <c r="M41" i="3"/>
  <c r="N40" i="3"/>
  <c r="L40" i="3"/>
  <c r="N39" i="3"/>
  <c r="L39" i="3"/>
  <c r="N38" i="3"/>
  <c r="L38" i="3"/>
  <c r="N37" i="3"/>
  <c r="L37" i="3"/>
  <c r="E33" i="3"/>
  <c r="C33" i="3"/>
  <c r="D32" i="3"/>
  <c r="C32" i="3"/>
  <c r="M31" i="3"/>
  <c r="K31" i="3"/>
  <c r="J31" i="3"/>
  <c r="F30" i="3"/>
  <c r="C30" i="3"/>
  <c r="F29" i="3"/>
  <c r="E29" i="3"/>
  <c r="C29" i="3"/>
  <c r="C27" i="3"/>
  <c r="E25" i="3"/>
  <c r="C25" i="3"/>
  <c r="C23" i="3"/>
  <c r="Y22" i="3"/>
  <c r="Y43" i="3" s="1"/>
  <c r="X22" i="3"/>
  <c r="X43" i="3" s="1"/>
  <c r="W22" i="3"/>
  <c r="W43" i="3" s="1"/>
  <c r="V22" i="3"/>
  <c r="V43" i="3" s="1"/>
  <c r="U22" i="3"/>
  <c r="U43" i="3" s="1"/>
  <c r="T22" i="3"/>
  <c r="T43" i="3" s="1"/>
  <c r="S22" i="3"/>
  <c r="S43" i="3" s="1"/>
  <c r="R22" i="3"/>
  <c r="Q22" i="3"/>
  <c r="P22" i="3"/>
  <c r="O22" i="3"/>
  <c r="N22" i="3"/>
  <c r="C22" i="3"/>
  <c r="M21" i="3"/>
  <c r="L21" i="3"/>
  <c r="K21" i="3"/>
  <c r="J21" i="3"/>
  <c r="C21" i="3"/>
  <c r="M20" i="3"/>
  <c r="L20" i="3"/>
  <c r="J20" i="3"/>
  <c r="F20" i="3"/>
  <c r="C20" i="3"/>
  <c r="D19" i="3"/>
  <c r="C19" i="3"/>
  <c r="K18" i="3"/>
  <c r="E18" i="3"/>
  <c r="C18" i="3"/>
  <c r="F17" i="3"/>
  <c r="E17" i="3"/>
  <c r="C17" i="3"/>
  <c r="AE16" i="3"/>
  <c r="F15" i="3"/>
  <c r="C15" i="3"/>
  <c r="C14" i="3"/>
  <c r="C13" i="3"/>
  <c r="F12" i="3"/>
  <c r="C12" i="3"/>
  <c r="J11" i="3"/>
  <c r="D11" i="3"/>
  <c r="C11" i="3"/>
  <c r="E10" i="3"/>
  <c r="C10" i="3"/>
  <c r="D9" i="3"/>
  <c r="C9" i="3"/>
  <c r="M8" i="3"/>
  <c r="C8" i="3"/>
  <c r="M7" i="3"/>
  <c r="M11" i="3" s="1"/>
  <c r="L7" i="3"/>
  <c r="L11" i="3" s="1"/>
  <c r="K7" i="3"/>
  <c r="K11" i="3" s="1"/>
  <c r="D7" i="3"/>
  <c r="C7" i="3"/>
  <c r="E6" i="3"/>
  <c r="C6" i="3"/>
  <c r="J5" i="3"/>
  <c r="C5" i="3"/>
  <c r="C3" i="3"/>
  <c r="K27" i="1"/>
  <c r="F33" i="3" s="1"/>
  <c r="O26" i="1"/>
  <c r="K26" i="1"/>
  <c r="F32" i="3" s="1"/>
  <c r="F25" i="1"/>
  <c r="F25" i="3" s="1"/>
  <c r="J24" i="1"/>
  <c r="E30" i="3" s="1"/>
  <c r="E20" i="1"/>
  <c r="E20" i="3" s="1"/>
  <c r="F18" i="3"/>
  <c r="U16" i="1"/>
  <c r="T16" i="1"/>
  <c r="S16" i="1"/>
  <c r="R16" i="1"/>
  <c r="Q16" i="1"/>
  <c r="P16" i="1"/>
  <c r="O16" i="1"/>
  <c r="N16" i="1"/>
  <c r="M16" i="1"/>
  <c r="L16" i="1"/>
  <c r="E13" i="1"/>
  <c r="E13" i="3" s="1"/>
  <c r="F11" i="1"/>
  <c r="F10" i="1" s="1"/>
  <c r="E8" i="1"/>
  <c r="E8" i="3" s="1"/>
  <c r="F7" i="1"/>
  <c r="F7" i="3" s="1"/>
  <c r="L5" i="1"/>
  <c r="K5" i="3" s="1"/>
  <c r="I26" i="5" l="1"/>
  <c r="I28" i="5"/>
  <c r="C20" i="8"/>
  <c r="D10" i="8"/>
  <c r="D20" i="8" s="1"/>
  <c r="C21" i="9"/>
  <c r="C27" i="9" s="1"/>
  <c r="L8" i="1"/>
  <c r="L8" i="5" s="1"/>
  <c r="K22" i="3"/>
  <c r="L41" i="3"/>
  <c r="L22" i="3"/>
  <c r="L27" i="3" s="1"/>
  <c r="L28" i="3" s="1"/>
  <c r="F31" i="5"/>
  <c r="F52" i="5"/>
  <c r="J22" i="3"/>
  <c r="F19" i="5"/>
  <c r="F57" i="5" s="1"/>
  <c r="M22" i="3"/>
  <c r="M27" i="3" s="1"/>
  <c r="M28" i="3" s="1"/>
  <c r="N41" i="3"/>
  <c r="E22" i="5"/>
  <c r="F22" i="1"/>
  <c r="E22" i="3"/>
  <c r="F10" i="3"/>
  <c r="J8" i="1"/>
  <c r="J8" i="5" s="1"/>
  <c r="F10" i="5"/>
  <c r="F11" i="5"/>
  <c r="F11" i="3"/>
  <c r="J26" i="1"/>
  <c r="E51" i="5" s="1"/>
  <c r="E19" i="5"/>
  <c r="F25" i="5"/>
  <c r="F58" i="5" s="1"/>
  <c r="E20" i="5"/>
  <c r="E57" i="5" s="1"/>
  <c r="E13" i="5"/>
  <c r="F51" i="5"/>
  <c r="F21" i="1"/>
  <c r="F7" i="5"/>
  <c r="D46" i="5"/>
  <c r="O24" i="1"/>
  <c r="E8" i="5"/>
  <c r="E21" i="5"/>
  <c r="E56" i="5" s="1"/>
  <c r="E49" i="5"/>
  <c r="F37" i="1"/>
  <c r="F37" i="5" s="1"/>
  <c r="E37" i="5"/>
  <c r="F36" i="1"/>
  <c r="E36" i="5"/>
  <c r="K26" i="5"/>
  <c r="J26" i="5"/>
  <c r="M26" i="5"/>
  <c r="L26" i="5"/>
  <c r="S26" i="5"/>
  <c r="O26" i="5"/>
  <c r="R26" i="5"/>
  <c r="T26" i="5"/>
  <c r="E58" i="5"/>
  <c r="N5" i="5"/>
  <c r="E23" i="1"/>
  <c r="P25" i="1"/>
  <c r="F14" i="1"/>
  <c r="F6" i="1"/>
  <c r="F13" i="1" s="1"/>
  <c r="M5" i="1"/>
  <c r="K27" i="3"/>
  <c r="K28" i="3" s="1"/>
  <c r="J27" i="3"/>
  <c r="J30" i="3" s="1"/>
  <c r="L43" i="3"/>
  <c r="L42" i="3" s="1"/>
  <c r="E9" i="3"/>
  <c r="N43" i="3"/>
  <c r="K28" i="1"/>
  <c r="O43" i="3"/>
  <c r="P43" i="3"/>
  <c r="Q43" i="3"/>
  <c r="R43" i="3"/>
  <c r="P26" i="1"/>
  <c r="E19" i="3"/>
  <c r="E23" i="5" l="1"/>
  <c r="J15" i="1"/>
  <c r="I31" i="5"/>
  <c r="I29" i="5"/>
  <c r="M43" i="3"/>
  <c r="M42" i="3" s="1"/>
  <c r="F34" i="3"/>
  <c r="F53" i="5"/>
  <c r="E59" i="5"/>
  <c r="N5" i="1"/>
  <c r="N8" i="1" s="1"/>
  <c r="N8" i="5" s="1"/>
  <c r="M8" i="1"/>
  <c r="M8" i="5" s="1"/>
  <c r="E32" i="3"/>
  <c r="F22" i="3"/>
  <c r="F22" i="5"/>
  <c r="P24" i="1"/>
  <c r="P27" i="1" s="1"/>
  <c r="F21" i="3"/>
  <c r="F21" i="5"/>
  <c r="F56" i="5" s="1"/>
  <c r="F59" i="5" s="1"/>
  <c r="N14" i="1"/>
  <c r="M14" i="1"/>
  <c r="R14" i="1"/>
  <c r="T14" i="1"/>
  <c r="U14" i="1"/>
  <c r="O14" i="1"/>
  <c r="P14" i="1"/>
  <c r="F36" i="5"/>
  <c r="Q14" i="1"/>
  <c r="S14" i="1"/>
  <c r="L14" i="1"/>
  <c r="K14" i="1"/>
  <c r="F8" i="1"/>
  <c r="F8" i="3" s="1"/>
  <c r="F6" i="5"/>
  <c r="F14" i="3"/>
  <c r="F14" i="5"/>
  <c r="O5" i="5"/>
  <c r="Y7" i="3"/>
  <c r="Y11" i="3" s="1"/>
  <c r="O27" i="1"/>
  <c r="L5" i="3"/>
  <c r="X7" i="3"/>
  <c r="X11" i="3" s="1"/>
  <c r="F6" i="3"/>
  <c r="K30" i="3"/>
  <c r="L30" i="3" s="1"/>
  <c r="M30" i="3" s="1"/>
  <c r="V7" i="3"/>
  <c r="V11" i="3" s="1"/>
  <c r="W7" i="3"/>
  <c r="W11" i="3" s="1"/>
  <c r="J28" i="3"/>
  <c r="O7" i="1" l="1"/>
  <c r="P7" i="1"/>
  <c r="N7" i="1"/>
  <c r="N7" i="5" s="1"/>
  <c r="M5" i="3"/>
  <c r="L7" i="1"/>
  <c r="L7" i="5" s="1"/>
  <c r="R7" i="1"/>
  <c r="Q7" i="3" s="1"/>
  <c r="Q11" i="3" s="1"/>
  <c r="Q27" i="3" s="1"/>
  <c r="Q28" i="3" s="1"/>
  <c r="F9" i="1"/>
  <c r="O5" i="1"/>
  <c r="K7" i="1"/>
  <c r="K7" i="5" s="1"/>
  <c r="J7" i="1"/>
  <c r="J7" i="5" s="1"/>
  <c r="Q7" i="1"/>
  <c r="P7" i="3" s="1"/>
  <c r="P11" i="3" s="1"/>
  <c r="P27" i="3" s="1"/>
  <c r="P28" i="3" s="1"/>
  <c r="F9" i="3"/>
  <c r="F9" i="5"/>
  <c r="F13" i="3"/>
  <c r="F13" i="5"/>
  <c r="N7" i="3"/>
  <c r="N11" i="3" s="1"/>
  <c r="N27" i="3" s="1"/>
  <c r="N28" i="3" s="1"/>
  <c r="O7" i="5"/>
  <c r="O7" i="3"/>
  <c r="O11" i="3" s="1"/>
  <c r="O27" i="3" s="1"/>
  <c r="O28" i="3" s="1"/>
  <c r="P7" i="5"/>
  <c r="M7" i="1"/>
  <c r="M7" i="5" s="1"/>
  <c r="F8" i="5"/>
  <c r="U7" i="1"/>
  <c r="S7" i="1"/>
  <c r="T7" i="1"/>
  <c r="P5" i="5"/>
  <c r="K15" i="1"/>
  <c r="J17" i="1"/>
  <c r="U15" i="1"/>
  <c r="Q15" i="1"/>
  <c r="R15" i="1"/>
  <c r="E23" i="3"/>
  <c r="P15" i="1"/>
  <c r="O15" i="1"/>
  <c r="Y23" i="3"/>
  <c r="Y25" i="3" s="1"/>
  <c r="N15" i="1"/>
  <c r="L15" i="1"/>
  <c r="X23" i="3"/>
  <c r="X25" i="3" s="1"/>
  <c r="F23" i="1"/>
  <c r="F23" i="5" s="1"/>
  <c r="T15" i="1"/>
  <c r="S15" i="1"/>
  <c r="E27" i="1"/>
  <c r="W23" i="3"/>
  <c r="W24" i="3" s="1"/>
  <c r="V23" i="3"/>
  <c r="V24" i="3" s="1"/>
  <c r="M15" i="1"/>
  <c r="Y27" i="3"/>
  <c r="Y28" i="3" s="1"/>
  <c r="W27" i="3"/>
  <c r="W28" i="3" s="1"/>
  <c r="X27" i="3"/>
  <c r="X28" i="3" s="1"/>
  <c r="V27" i="3"/>
  <c r="V28" i="3" s="1"/>
  <c r="J11" i="1" l="1"/>
  <c r="J12" i="5" s="1"/>
  <c r="R7" i="5"/>
  <c r="O8" i="1"/>
  <c r="O8" i="5" s="1"/>
  <c r="N5" i="3"/>
  <c r="P5" i="1"/>
  <c r="Q7" i="5"/>
  <c r="E27" i="3"/>
  <c r="E27" i="5"/>
  <c r="J19" i="1"/>
  <c r="J24" i="5"/>
  <c r="J25" i="5" s="1"/>
  <c r="U7" i="3"/>
  <c r="U11" i="3" s="1"/>
  <c r="U27" i="3" s="1"/>
  <c r="U28" i="3" s="1"/>
  <c r="U7" i="5"/>
  <c r="T7" i="3"/>
  <c r="T11" i="3" s="1"/>
  <c r="T27" i="3" s="1"/>
  <c r="T28" i="3" s="1"/>
  <c r="T7" i="5"/>
  <c r="S7" i="3"/>
  <c r="S11" i="3" s="1"/>
  <c r="S27" i="3" s="1"/>
  <c r="S28" i="3" s="1"/>
  <c r="S7" i="5"/>
  <c r="R7" i="3"/>
  <c r="R11" i="3" s="1"/>
  <c r="Q5" i="5"/>
  <c r="O17" i="1"/>
  <c r="P17" i="1"/>
  <c r="L17" i="1"/>
  <c r="N17" i="1"/>
  <c r="T17" i="1"/>
  <c r="K17" i="1"/>
  <c r="M17" i="1"/>
  <c r="R17" i="1"/>
  <c r="Q17" i="1"/>
  <c r="U17" i="1"/>
  <c r="U23" i="3"/>
  <c r="S17" i="1"/>
  <c r="V25" i="3"/>
  <c r="W25" i="3"/>
  <c r="F27" i="1"/>
  <c r="F23" i="3"/>
  <c r="X24" i="3"/>
  <c r="Y24" i="3"/>
  <c r="N30" i="3"/>
  <c r="O30" i="3" s="1"/>
  <c r="P30" i="3" s="1"/>
  <c r="Q30" i="3" s="1"/>
  <c r="J11" i="5" l="1"/>
  <c r="J21" i="1"/>
  <c r="R27" i="3"/>
  <c r="R28" i="3" s="1"/>
  <c r="J34" i="3" a="1"/>
  <c r="F27" i="3"/>
  <c r="F27" i="5"/>
  <c r="P8" i="1"/>
  <c r="P8" i="5" s="1"/>
  <c r="Q5" i="1"/>
  <c r="O5" i="3"/>
  <c r="T23" i="3"/>
  <c r="T25" i="3" s="1"/>
  <c r="U24" i="5"/>
  <c r="U25" i="5" s="1"/>
  <c r="P23" i="3"/>
  <c r="P25" i="3" s="1"/>
  <c r="Q24" i="5"/>
  <c r="Q25" i="5" s="1"/>
  <c r="Q23" i="3"/>
  <c r="Q25" i="3" s="1"/>
  <c r="R24" i="5"/>
  <c r="R25" i="5" s="1"/>
  <c r="L23" i="3"/>
  <c r="L24" i="3" s="1"/>
  <c r="M24" i="5"/>
  <c r="M25" i="5" s="1"/>
  <c r="K24" i="5"/>
  <c r="K25" i="5" s="1"/>
  <c r="R23" i="3"/>
  <c r="R25" i="3" s="1"/>
  <c r="S24" i="5"/>
  <c r="S25" i="5" s="1"/>
  <c r="M23" i="3"/>
  <c r="M24" i="3" s="1"/>
  <c r="N24" i="5"/>
  <c r="N25" i="5" s="1"/>
  <c r="K23" i="3"/>
  <c r="K24" i="3" s="1"/>
  <c r="L24" i="5"/>
  <c r="L25" i="5" s="1"/>
  <c r="S23" i="3"/>
  <c r="S25" i="3" s="1"/>
  <c r="T24" i="5"/>
  <c r="T25" i="5" s="1"/>
  <c r="O23" i="3"/>
  <c r="O24" i="3" s="1"/>
  <c r="P24" i="5"/>
  <c r="P25" i="5" s="1"/>
  <c r="N23" i="3"/>
  <c r="N24" i="3" s="1"/>
  <c r="O24" i="5"/>
  <c r="O25" i="5" s="1"/>
  <c r="J13" i="5"/>
  <c r="J28" i="5"/>
  <c r="J14" i="5"/>
  <c r="J34" i="3"/>
  <c r="R5" i="5"/>
  <c r="J23" i="3"/>
  <c r="U24" i="3"/>
  <c r="U25" i="3"/>
  <c r="R30" i="3" l="1"/>
  <c r="S30" i="3" s="1"/>
  <c r="T30" i="3" s="1"/>
  <c r="U30" i="3" s="1"/>
  <c r="V30" i="3" s="1"/>
  <c r="W30" i="3" s="1"/>
  <c r="X30" i="3" s="1"/>
  <c r="Y30" i="3" s="1"/>
  <c r="K9" i="1"/>
  <c r="K9" i="5" s="1"/>
  <c r="I33" i="5"/>
  <c r="K11" i="1"/>
  <c r="R24" i="3"/>
  <c r="T24" i="3"/>
  <c r="P24" i="3"/>
  <c r="K25" i="3"/>
  <c r="Q24" i="3"/>
  <c r="O25" i="3"/>
  <c r="Q8" i="1"/>
  <c r="Q8" i="5" s="1"/>
  <c r="R5" i="1"/>
  <c r="P5" i="3"/>
  <c r="S24" i="3"/>
  <c r="N25" i="3"/>
  <c r="L25" i="3"/>
  <c r="M25" i="3"/>
  <c r="J31" i="5"/>
  <c r="J29" i="5"/>
  <c r="S5" i="5"/>
  <c r="J25" i="3"/>
  <c r="J24" i="3"/>
  <c r="K19" i="1" l="1"/>
  <c r="K21" i="1" s="1"/>
  <c r="J12" i="3"/>
  <c r="K12" i="5"/>
  <c r="K11" i="5"/>
  <c r="R8" i="1"/>
  <c r="R8" i="5" s="1"/>
  <c r="Q5" i="3"/>
  <c r="S5" i="1"/>
  <c r="T5" i="5"/>
  <c r="K28" i="5" l="1"/>
  <c r="K13" i="5"/>
  <c r="J13" i="3"/>
  <c r="J14" i="3"/>
  <c r="J33" i="5"/>
  <c r="L9" i="1"/>
  <c r="J32" i="3"/>
  <c r="K14" i="5"/>
  <c r="S8" i="1"/>
  <c r="S8" i="5" s="1"/>
  <c r="R5" i="3"/>
  <c r="T5" i="1"/>
  <c r="U5" i="5"/>
  <c r="L11" i="1" l="1"/>
  <c r="L9" i="5"/>
  <c r="K29" i="5"/>
  <c r="K31" i="5"/>
  <c r="T8" i="1"/>
  <c r="T8" i="5" s="1"/>
  <c r="S5" i="3"/>
  <c r="U5" i="3"/>
  <c r="L19" i="1" l="1"/>
  <c r="L21" i="1" s="1"/>
  <c r="L12" i="5"/>
  <c r="K12" i="3"/>
  <c r="L11" i="5"/>
  <c r="U8" i="1"/>
  <c r="U8" i="5" s="1"/>
  <c r="T5" i="3"/>
  <c r="V5" i="3"/>
  <c r="K13" i="3" l="1"/>
  <c r="K14" i="3"/>
  <c r="L14" i="5"/>
  <c r="L13" i="5"/>
  <c r="L28" i="5"/>
  <c r="K33" i="5"/>
  <c r="M9" i="1"/>
  <c r="K32" i="3"/>
  <c r="W5" i="3"/>
  <c r="M9" i="5" l="1"/>
  <c r="M11" i="1"/>
  <c r="L29" i="5"/>
  <c r="L31" i="5"/>
  <c r="X5" i="3"/>
  <c r="M11" i="5" l="1"/>
  <c r="M19" i="1"/>
  <c r="L12" i="3"/>
  <c r="M12" i="5"/>
  <c r="M14" i="5" s="1"/>
  <c r="Y5" i="3"/>
  <c r="L13" i="3" l="1"/>
  <c r="L14" i="3"/>
  <c r="M21" i="1"/>
  <c r="M28" i="5"/>
  <c r="M13" i="5"/>
  <c r="M29" i="5" l="1"/>
  <c r="M31" i="5"/>
  <c r="N9" i="1"/>
  <c r="L32" i="3"/>
  <c r="L33" i="5"/>
  <c r="N9" i="5" l="1"/>
  <c r="N11" i="1"/>
  <c r="N11" i="5" l="1"/>
  <c r="M12" i="3"/>
  <c r="N12" i="5"/>
  <c r="N19" i="1"/>
  <c r="N14" i="5" l="1"/>
  <c r="M14" i="3"/>
  <c r="M13" i="3"/>
  <c r="N21" i="1"/>
  <c r="N13" i="5"/>
  <c r="N28" i="5"/>
  <c r="N29" i="5" l="1"/>
  <c r="N31" i="5"/>
  <c r="O9" i="1"/>
  <c r="M33" i="5"/>
  <c r="M32" i="3"/>
  <c r="O9" i="5" l="1"/>
  <c r="O11" i="1"/>
  <c r="N12" i="3" l="1"/>
  <c r="O11" i="5"/>
  <c r="O12" i="5"/>
  <c r="O19" i="1"/>
  <c r="O21" i="1" s="1"/>
  <c r="O14" i="5" l="1"/>
  <c r="P9" i="1"/>
  <c r="N33" i="5"/>
  <c r="N32" i="3"/>
  <c r="O13" i="5"/>
  <c r="O28" i="5"/>
  <c r="N14" i="3"/>
  <c r="N13" i="3"/>
  <c r="O29" i="5" l="1"/>
  <c r="O31" i="5"/>
  <c r="P9" i="5"/>
  <c r="P11" i="1"/>
  <c r="P11" i="5" l="1"/>
  <c r="O12" i="3"/>
  <c r="P12" i="5"/>
  <c r="P14" i="5" s="1"/>
  <c r="P19" i="1"/>
  <c r="P21" i="1" s="1"/>
  <c r="Q9" i="1" l="1"/>
  <c r="O32" i="3"/>
  <c r="O33" i="5"/>
  <c r="O14" i="3"/>
  <c r="O13" i="3"/>
  <c r="P13" i="5"/>
  <c r="P28" i="5"/>
  <c r="P29" i="5" l="1"/>
  <c r="P31" i="5"/>
  <c r="Q9" i="5"/>
  <c r="Q11" i="1"/>
  <c r="P12" i="3" l="1"/>
  <c r="Q12" i="5"/>
  <c r="Q11" i="5"/>
  <c r="Q19" i="1"/>
  <c r="Q21" i="1" s="1"/>
  <c r="R9" i="1" l="1"/>
  <c r="P33" i="5"/>
  <c r="P32" i="3"/>
  <c r="Q13" i="5"/>
  <c r="Q28" i="5"/>
  <c r="Q14" i="5"/>
  <c r="P13" i="3"/>
  <c r="P14" i="3"/>
  <c r="Q29" i="5" l="1"/>
  <c r="Q31" i="5"/>
  <c r="R9" i="5"/>
  <c r="R11" i="1"/>
  <c r="U12" i="3"/>
  <c r="U33" i="5"/>
  <c r="R11" i="5" l="1"/>
  <c r="R19" i="1"/>
  <c r="R21" i="1" s="1"/>
  <c r="R12" i="5"/>
  <c r="Q12" i="3"/>
  <c r="U32" i="3"/>
  <c r="U14" i="3"/>
  <c r="U13" i="3"/>
  <c r="R14" i="5" l="1"/>
  <c r="Q14" i="3"/>
  <c r="Q13" i="3"/>
  <c r="S9" i="1"/>
  <c r="Q32" i="3"/>
  <c r="Q33" i="5"/>
  <c r="R28" i="5"/>
  <c r="R13" i="5"/>
  <c r="V12" i="3"/>
  <c r="R29" i="5" l="1"/>
  <c r="R31" i="5"/>
  <c r="S9" i="5"/>
  <c r="S11" i="1"/>
  <c r="V32" i="3"/>
  <c r="V14" i="3"/>
  <c r="V13" i="3"/>
  <c r="S12" i="5" l="1"/>
  <c r="S19" i="1"/>
  <c r="S21" i="1" s="1"/>
  <c r="S11" i="5"/>
  <c r="R12" i="3"/>
  <c r="W12" i="3"/>
  <c r="R14" i="3" l="1"/>
  <c r="R13" i="3"/>
  <c r="S28" i="5"/>
  <c r="S13" i="5"/>
  <c r="T9" i="1"/>
  <c r="R33" i="5"/>
  <c r="R32" i="3"/>
  <c r="S14" i="5"/>
  <c r="W32" i="3"/>
  <c r="W14" i="3"/>
  <c r="W13" i="3"/>
  <c r="T9" i="5" l="1"/>
  <c r="T11" i="1"/>
  <c r="S29" i="5"/>
  <c r="S31" i="5"/>
  <c r="X12" i="3"/>
  <c r="S12" i="3" l="1"/>
  <c r="T11" i="5"/>
  <c r="T12" i="5"/>
  <c r="T19" i="1"/>
  <c r="T21" i="1" s="1"/>
  <c r="X32" i="3"/>
  <c r="X14" i="3"/>
  <c r="X13" i="3"/>
  <c r="T14" i="5" l="1"/>
  <c r="S33" i="5"/>
  <c r="U9" i="1"/>
  <c r="S32" i="3"/>
  <c r="T13" i="5"/>
  <c r="T28" i="5"/>
  <c r="S14" i="3"/>
  <c r="S13" i="3"/>
  <c r="Y12" i="3"/>
  <c r="Y32" i="3"/>
  <c r="T29" i="5" l="1"/>
  <c r="T31" i="5"/>
  <c r="U9" i="5"/>
  <c r="U11" i="1"/>
  <c r="Y14" i="3"/>
  <c r="Y13" i="3"/>
  <c r="U11" i="5" l="1"/>
  <c r="U19" i="1"/>
  <c r="U21" i="1" s="1"/>
  <c r="U12" i="5"/>
  <c r="T12" i="3"/>
  <c r="U14" i="5" l="1"/>
  <c r="T14" i="3"/>
  <c r="T13" i="3"/>
  <c r="D41" i="1"/>
  <c r="D42" i="1"/>
  <c r="T33" i="5"/>
  <c r="T32" i="3"/>
  <c r="U13" i="5"/>
  <c r="U28" i="5"/>
  <c r="U29" i="5" l="1"/>
  <c r="U3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8" authorId="0" shapeId="0" xr:uid="{00000000-0006-0000-0200-000003000000}">
      <text>
        <r>
          <rPr>
            <sz val="11"/>
            <color theme="1"/>
            <rFont val="Aptos Narrow"/>
            <scheme val="minor"/>
          </rPr>
          <t>======
ID#AAAByTZn4Z0
Andrew Whitcomb    (2026-01-07 16:34:21)
Christmas gifts</t>
        </r>
      </text>
    </comment>
    <comment ref="K18" authorId="0" shapeId="0" xr:uid="{00000000-0006-0000-0200-000001000000}">
      <text>
        <r>
          <rPr>
            <sz val="11"/>
            <color rgb="FF000000"/>
            <rFont val="Aptos Narrow"/>
          </rPr>
          <t xml:space="preserve">======
</t>
        </r>
        <r>
          <rPr>
            <sz val="11"/>
            <color rgb="FF000000"/>
            <rFont val="Aptos Narrow"/>
          </rPr>
          <t xml:space="preserve">ID#AAAByTZn4aA
</t>
        </r>
        <r>
          <rPr>
            <sz val="11"/>
            <color rgb="FF000000"/>
            <rFont val="Aptos Narrow"/>
          </rPr>
          <t xml:space="preserve">Andrew Whitcomb    (2026-01-07 16:34:21)
</t>
        </r>
        <r>
          <rPr>
            <sz val="11"/>
            <color rgb="FF000000"/>
            <rFont val="Aptos Narrow"/>
          </rPr>
          <t>Amex annual plat. fee ($895).</t>
        </r>
      </text>
    </comment>
    <comment ref="M18" authorId="0" shapeId="0" xr:uid="{00000000-0006-0000-0200-000006000000}">
      <text>
        <r>
          <rPr>
            <sz val="11"/>
            <color theme="1"/>
            <rFont val="Aptos Narrow"/>
            <scheme val="minor"/>
          </rPr>
          <t>======
ID#AAAByTZn4ZU
Andrew Whitcomb    (2026-01-07 16:34:21)
Eliza christmas gift ($1,070).</t>
        </r>
      </text>
    </comment>
    <comment ref="L20" authorId="0" shapeId="0" xr:uid="{00000000-0006-0000-0200-000002000000}">
      <text>
        <r>
          <rPr>
            <sz val="11"/>
            <color rgb="FF000000"/>
            <rFont val="Aptos Narrow"/>
          </rPr>
          <t xml:space="preserve">======
</t>
        </r>
        <r>
          <rPr>
            <sz val="11"/>
            <color rgb="FF000000"/>
            <rFont val="Aptos Narrow"/>
          </rPr>
          <t xml:space="preserve">ID#AAAByTZn4aE
</t>
        </r>
        <r>
          <rPr>
            <sz val="11"/>
            <color rgb="FF000000"/>
            <rFont val="Aptos Narrow"/>
          </rPr>
          <t xml:space="preserve">Andrew Whitcomb    (2026-01-07 16:34:21)
</t>
        </r>
        <r>
          <rPr>
            <sz val="11"/>
            <color rgb="FF000000"/>
            <rFont val="Aptos Narrow"/>
          </rPr>
          <t>Steak dinner ($170) + AirBnb ($200)</t>
        </r>
      </text>
    </comment>
    <comment ref="M20" authorId="0" shapeId="0" xr:uid="{00000000-0006-0000-0200-000005000000}">
      <text>
        <r>
          <rPr>
            <sz val="11"/>
            <color theme="1"/>
            <rFont val="Aptos Narrow"/>
            <scheme val="minor"/>
          </rPr>
          <t>======
ID#AAAByTZn4Zo
Andrew Whitcomb    (2026-01-07 16:34:21)
$456 for IU tickets</t>
        </r>
      </text>
    </comment>
    <comment ref="H21" authorId="0" shapeId="0" xr:uid="{00000000-0006-0000-0200-000004000000}">
      <text>
        <r>
          <rPr>
            <sz val="11"/>
            <color theme="1"/>
            <rFont val="Aptos Narrow"/>
            <scheme val="minor"/>
          </rPr>
          <t>======
ID#AAAByTZn4ZY
Andrew Whitcomb    (2026-01-07 16:34:21)
LinkedIn and MS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COB8H6X/NnVoUtJp8yjBQoPN0Q=="/>
    </ext>
  </extLst>
</comments>
</file>

<file path=xl/sharedStrings.xml><?xml version="1.0" encoding="utf-8"?>
<sst xmlns="http://schemas.openxmlformats.org/spreadsheetml/2006/main" count="198" uniqueCount="120">
  <si>
    <t>BUDGET</t>
  </si>
  <si>
    <t xml:space="preserve">Income </t>
  </si>
  <si>
    <t>Gross</t>
  </si>
  <si>
    <t>Net</t>
  </si>
  <si>
    <t>Base Salary</t>
  </si>
  <si>
    <t>Tax Rate (State, Federal, City, Medicare, Social Security)</t>
  </si>
  <si>
    <t>Net Base Salary</t>
  </si>
  <si>
    <t xml:space="preserve">Per Month </t>
  </si>
  <si>
    <t xml:space="preserve">Net Bonus </t>
  </si>
  <si>
    <t>Max Rent Pmt.</t>
  </si>
  <si>
    <t xml:space="preserve">Investment </t>
  </si>
  <si>
    <t>Bonus Amount</t>
  </si>
  <si>
    <t>Tax Refund</t>
  </si>
  <si>
    <t>Total Income</t>
  </si>
  <si>
    <t>Bonus Payout Date</t>
  </si>
  <si>
    <t>Total Salary</t>
  </si>
  <si>
    <t>Expense</t>
  </si>
  <si>
    <t>Total Tax</t>
  </si>
  <si>
    <t>High Yield Savings APR</t>
  </si>
  <si>
    <t xml:space="preserve">Discretionary </t>
  </si>
  <si>
    <t>Total Expenses</t>
  </si>
  <si>
    <t>Expenses</t>
  </si>
  <si>
    <t>Per Month</t>
  </si>
  <si>
    <t>Per Week</t>
  </si>
  <si>
    <t>LIRR/Subway</t>
  </si>
  <si>
    <t>Net Income</t>
  </si>
  <si>
    <t>Lunch in Office</t>
  </si>
  <si>
    <t xml:space="preserve">Sunday Grocery </t>
  </si>
  <si>
    <t xml:space="preserve">Savings Balance </t>
  </si>
  <si>
    <t xml:space="preserve">Subscriptions </t>
  </si>
  <si>
    <t>LIRR Ticket Calc</t>
  </si>
  <si>
    <t xml:space="preserve">Controllable </t>
  </si>
  <si>
    <t>Total Fixed</t>
  </si>
  <si>
    <t xml:space="preserve">Trips </t>
  </si>
  <si>
    <t>Discretionary Expenses</t>
  </si>
  <si>
    <t>One Way Peak</t>
  </si>
  <si>
    <t>Misc.</t>
  </si>
  <si>
    <t>Monthly</t>
  </si>
  <si>
    <t>Total</t>
  </si>
  <si>
    <t xml:space="preserve">ACTUAL </t>
  </si>
  <si>
    <t>Budget</t>
  </si>
  <si>
    <t>% of Budget</t>
  </si>
  <si>
    <t>$ Over/Under</t>
  </si>
  <si>
    <t>Amex Blue</t>
  </si>
  <si>
    <t>Amex Platinum</t>
  </si>
  <si>
    <t>Chase</t>
  </si>
  <si>
    <t>Venmo/ATM</t>
  </si>
  <si>
    <t>Billed Direct to Checking</t>
  </si>
  <si>
    <t>$ Saved/Over</t>
  </si>
  <si>
    <t>% Saved</t>
  </si>
  <si>
    <t>Pro Forma EOP Balance</t>
  </si>
  <si>
    <t>Actual EOP Balance</t>
  </si>
  <si>
    <t>*Checking account balance as of last day of month, less that months liabilities</t>
  </si>
  <si>
    <t>% of budget</t>
  </si>
  <si>
    <t>PF Savings (Dec-26):</t>
  </si>
  <si>
    <t xml:space="preserve">Weekly </t>
  </si>
  <si>
    <t>Budget/month</t>
  </si>
  <si>
    <t>Budget/week</t>
  </si>
  <si>
    <t>Monthly Expense</t>
  </si>
  <si>
    <t>Total Cost</t>
  </si>
  <si>
    <t>Per Person</t>
  </si>
  <si>
    <t>Notes</t>
  </si>
  <si>
    <t>Rent</t>
  </si>
  <si>
    <t>Internet</t>
  </si>
  <si>
    <t>Water</t>
  </si>
  <si>
    <t>approximate</t>
  </si>
  <si>
    <t>Total Monthly</t>
  </si>
  <si>
    <t>One-Time / Annual Fee</t>
  </si>
  <si>
    <t>Application Fee</t>
  </si>
  <si>
    <t>Security Deposit</t>
  </si>
  <si>
    <t>Brokerage Fee</t>
  </si>
  <si>
    <t>Total One-Time</t>
  </si>
  <si>
    <t>Total Estimated Move-In (First Month + Fees)</t>
  </si>
  <si>
    <t xml:space="preserve">Total Yearly Cost: </t>
  </si>
  <si>
    <t>First Month Cost:</t>
  </si>
  <si>
    <t>Base Rent:</t>
  </si>
  <si>
    <t>Total Rent Yearly:</t>
  </si>
  <si>
    <t>~Utilities:</t>
  </si>
  <si>
    <t>Total Rent Monthly - First Month:</t>
  </si>
  <si>
    <t>Jordan Travel</t>
  </si>
  <si>
    <t>Subscriptions</t>
  </si>
  <si>
    <t>Total:</t>
  </si>
  <si>
    <t>Apple Music</t>
  </si>
  <si>
    <t>ICloud+</t>
  </si>
  <si>
    <t>AMEX Gold</t>
  </si>
  <si>
    <t>Food</t>
  </si>
  <si>
    <t>Amex Gold</t>
  </si>
  <si>
    <t>BOA</t>
  </si>
  <si>
    <t>Utilities</t>
  </si>
  <si>
    <t>Budgeted Expenses</t>
  </si>
  <si>
    <t>Summary of Savings</t>
  </si>
  <si>
    <t>Total Savings</t>
  </si>
  <si>
    <t>% Of Salary Saved</t>
  </si>
  <si>
    <t>West 37th Breakdown</t>
  </si>
  <si>
    <t>Occupants: 3 | Amenities: Roof Deck, Lounges, Laundry</t>
  </si>
  <si>
    <t>Electric</t>
  </si>
  <si>
    <t>Flex Wall Installation</t>
  </si>
  <si>
    <t>Costs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</si>
  <si>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</si>
  <si>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</si>
  <si>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</si>
  <si>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</si>
  <si>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</si>
  <si>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</si>
  <si>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</si>
  <si>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</si>
  <si>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</si>
  <si>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March</t>
  </si>
  <si>
    <t>April</t>
  </si>
  <si>
    <t>Rent:</t>
  </si>
  <si>
    <t>Power:</t>
  </si>
  <si>
    <t>Wifi:</t>
  </si>
  <si>
    <t>Grand Total:</t>
  </si>
  <si>
    <t>Utilities:</t>
  </si>
  <si>
    <t>Power</t>
  </si>
  <si>
    <t>Wifi</t>
  </si>
  <si>
    <t>Compared to last month</t>
  </si>
  <si>
    <t>%∆</t>
  </si>
  <si>
    <t>Last month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</si>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</sst>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"/>
    <numFmt numFmtId="165" formatCode="_(#,##0.0%_);\(#,##0.0%\);_(&quot;–&quot;_)_%;_(@_)_%"/>
    <numFmt numFmtId="166" formatCode="_(* #,##0_);_(* \(#,##0\);_(* &quot;-&quot;??_);_(@_)"/>
    <numFmt numFmtId="167" formatCode="&quot;$&quot;#,##0.00"/>
    <numFmt numFmtId="168" formatCode="_([$$-409]* #,##0.00_);_([$$-409]* \(#,##0.00\);_([$$-409]* &quot;-&quot;??_);_(@_)"/>
  </numFmts>
  <fonts count="39" x14ac:knownFonts="1">
    <font>
      <sz val="11"/>
      <color theme="1"/>
      <name val="Aptos Narrow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i/>
      <sz val="9"/>
      <color theme="0"/>
      <name val="Arial"/>
      <family val="2"/>
    </font>
    <font>
      <sz val="9"/>
      <color rgb="FF0000FF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B050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i/>
      <sz val="8"/>
      <color theme="1"/>
      <name val="Arial"/>
      <family val="2"/>
    </font>
    <font>
      <i/>
      <sz val="8"/>
      <color rgb="FF000000"/>
      <name val="Arial"/>
      <family val="2"/>
    </font>
    <font>
      <i/>
      <sz val="9"/>
      <color theme="1"/>
      <name val="Arial"/>
      <family val="2"/>
    </font>
    <font>
      <i/>
      <sz val="8"/>
      <color rgb="FF008000"/>
      <name val="Arial"/>
      <family val="2"/>
    </font>
    <font>
      <b/>
      <sz val="9"/>
      <color rgb="FF0000FF"/>
      <name val="Arial"/>
      <family val="2"/>
    </font>
    <font>
      <sz val="11"/>
      <color theme="1"/>
      <name val="Arial"/>
      <family val="2"/>
    </font>
    <font>
      <b/>
      <sz val="14"/>
      <color rgb="FF171C1F"/>
      <name val="Montserrat"/>
    </font>
    <font>
      <b/>
      <sz val="11"/>
      <color rgb="FF171C1F"/>
      <name val="Montserrat"/>
    </font>
    <font>
      <b/>
      <sz val="11"/>
      <color rgb="FFFFFFFF"/>
      <name val="Montserrat"/>
    </font>
    <font>
      <sz val="11"/>
      <color rgb="FF171C1F"/>
      <name val="Roboto"/>
    </font>
    <font>
      <b/>
      <sz val="11"/>
      <color rgb="FF171C1F"/>
      <name val="Roboto"/>
    </font>
    <font>
      <sz val="11"/>
      <color theme="1"/>
      <name val="Roboto"/>
    </font>
    <font>
      <sz val="11"/>
      <color theme="1"/>
      <name val="Aptos Narrow"/>
      <scheme val="minor"/>
    </font>
    <font>
      <sz val="11"/>
      <color rgb="FF000000"/>
      <name val="Aptos Narrow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i/>
      <sz val="9"/>
      <color theme="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theme="9" tint="-0.249977111117893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scheme val="minor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3041"/>
        <bgColor rgb="FF0A3041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226387"/>
        <bgColor rgb="FF226387"/>
      </patternFill>
    </fill>
    <fill>
      <patternFill patternType="solid">
        <fgColor rgb="FFF6F9FD"/>
        <bgColor rgb="FFF6F9FD"/>
      </patternFill>
    </fill>
    <fill>
      <patternFill patternType="solid">
        <fgColor rgb="FFEBEDF3"/>
        <bgColor rgb="FFEBEDF3"/>
      </patternFill>
    </fill>
    <fill>
      <patternFill patternType="solid">
        <fgColor rgb="FFC0E4F5"/>
        <bgColor rgb="FFC0E4F5"/>
      </patternFill>
    </fill>
  </fills>
  <borders count="5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indexed="64"/>
      </top>
      <bottom style="thick">
        <color rgb="FF000000"/>
      </bottom>
      <diagonal/>
    </border>
    <border>
      <left/>
      <right style="thick">
        <color rgb="FF000000"/>
      </right>
      <top style="thin">
        <color indexed="64"/>
      </top>
      <bottom style="thick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312">
    <xf numFmtId="0" fontId="0" fillId="0" borderId="0" xfId="0"/>
    <xf numFmtId="0" fontId="1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/>
    <xf numFmtId="0" fontId="4" fillId="2" borderId="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3" xfId="0" applyFont="1" applyFill="1" applyBorder="1"/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6" fontId="6" fillId="0" borderId="0" xfId="0" applyNumberFormat="1" applyFont="1"/>
    <xf numFmtId="6" fontId="2" fillId="0" borderId="7" xfId="0" applyNumberFormat="1" applyFont="1" applyBorder="1"/>
    <xf numFmtId="0" fontId="7" fillId="0" borderId="6" xfId="0" applyFont="1" applyBorder="1"/>
    <xf numFmtId="0" fontId="1" fillId="0" borderId="7" xfId="0" applyFont="1" applyBorder="1"/>
    <xf numFmtId="10" fontId="6" fillId="0" borderId="0" xfId="0" applyNumberFormat="1" applyFont="1"/>
    <xf numFmtId="41" fontId="2" fillId="0" borderId="0" xfId="0" applyNumberFormat="1" applyFont="1" applyAlignment="1">
      <alignment horizontal="center"/>
    </xf>
    <xf numFmtId="41" fontId="2" fillId="0" borderId="7" xfId="0" applyNumberFormat="1" applyFont="1" applyBorder="1" applyAlignment="1">
      <alignment horizontal="center"/>
    </xf>
    <xf numFmtId="6" fontId="2" fillId="0" borderId="0" xfId="0" applyNumberFormat="1" applyFont="1"/>
    <xf numFmtId="0" fontId="1" fillId="3" borderId="8" xfId="0" applyFont="1" applyFill="1" applyBorder="1" applyAlignment="1">
      <alignment horizontal="left"/>
    </xf>
    <xf numFmtId="9" fontId="6" fillId="3" borderId="9" xfId="0" applyNumberFormat="1" applyFont="1" applyFill="1" applyBorder="1"/>
    <xf numFmtId="6" fontId="2" fillId="3" borderId="9" xfId="0" applyNumberFormat="1" applyFont="1" applyFill="1" applyBorder="1"/>
    <xf numFmtId="6" fontId="2" fillId="3" borderId="10" xfId="0" applyNumberFormat="1" applyFont="1" applyFill="1" applyBorder="1"/>
    <xf numFmtId="0" fontId="1" fillId="0" borderId="11" xfId="0" applyFont="1" applyBorder="1" applyAlignment="1">
      <alignment horizontal="left"/>
    </xf>
    <xf numFmtId="0" fontId="1" fillId="0" borderId="12" xfId="0" applyFont="1" applyBorder="1"/>
    <xf numFmtId="41" fontId="6" fillId="0" borderId="12" xfId="0" applyNumberFormat="1" applyFont="1" applyBorder="1" applyAlignment="1">
      <alignment horizontal="center"/>
    </xf>
    <xf numFmtId="0" fontId="1" fillId="0" borderId="6" xfId="0" applyFont="1" applyBorder="1"/>
    <xf numFmtId="41" fontId="2" fillId="0" borderId="0" xfId="0" applyNumberFormat="1" applyFont="1"/>
    <xf numFmtId="41" fontId="2" fillId="0" borderId="7" xfId="0" applyNumberFormat="1" applyFont="1" applyBorder="1"/>
    <xf numFmtId="164" fontId="6" fillId="0" borderId="7" xfId="0" applyNumberFormat="1" applyFont="1" applyBorder="1" applyAlignment="1">
      <alignment horizontal="right"/>
    </xf>
    <xf numFmtId="0" fontId="7" fillId="0" borderId="6" xfId="0" applyFont="1" applyBorder="1" applyAlignment="1">
      <alignment horizontal="left"/>
    </xf>
    <xf numFmtId="6" fontId="8" fillId="0" borderId="0" xfId="0" applyNumberFormat="1" applyFont="1"/>
    <xf numFmtId="6" fontId="8" fillId="0" borderId="7" xfId="0" applyNumberFormat="1" applyFont="1" applyBorder="1"/>
    <xf numFmtId="41" fontId="1" fillId="0" borderId="0" xfId="0" applyNumberFormat="1" applyFont="1" applyAlignment="1">
      <alignment horizontal="center"/>
    </xf>
    <xf numFmtId="41" fontId="1" fillId="0" borderId="7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/>
    <xf numFmtId="10" fontId="6" fillId="0" borderId="16" xfId="0" applyNumberFormat="1" applyFont="1" applyBorder="1"/>
    <xf numFmtId="41" fontId="2" fillId="0" borderId="12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right"/>
    </xf>
    <xf numFmtId="0" fontId="7" fillId="3" borderId="17" xfId="0" applyFont="1" applyFill="1" applyBorder="1"/>
    <xf numFmtId="0" fontId="1" fillId="3" borderId="18" xfId="0" applyFont="1" applyFill="1" applyBorder="1"/>
    <xf numFmtId="0" fontId="1" fillId="0" borderId="12" xfId="0" applyFont="1" applyBorder="1" applyAlignment="1">
      <alignment horizontal="left"/>
    </xf>
    <xf numFmtId="6" fontId="2" fillId="0" borderId="13" xfId="0" applyNumberFormat="1" applyFont="1" applyBorder="1"/>
    <xf numFmtId="0" fontId="3" fillId="2" borderId="4" xfId="0" applyFont="1" applyFill="1" applyBorder="1"/>
    <xf numFmtId="0" fontId="2" fillId="0" borderId="0" xfId="0" applyFont="1"/>
    <xf numFmtId="0" fontId="6" fillId="0" borderId="7" xfId="0" applyFont="1" applyBorder="1"/>
    <xf numFmtId="8" fontId="1" fillId="0" borderId="0" xfId="0" applyNumberFormat="1" applyFont="1"/>
    <xf numFmtId="8" fontId="1" fillId="0" borderId="7" xfId="0" applyNumberFormat="1" applyFont="1" applyBorder="1"/>
    <xf numFmtId="8" fontId="6" fillId="0" borderId="0" xfId="0" applyNumberFormat="1" applyFont="1"/>
    <xf numFmtId="8" fontId="2" fillId="0" borderId="0" xfId="0" applyNumberFormat="1" applyFont="1"/>
    <xf numFmtId="8" fontId="2" fillId="0" borderId="7" xfId="0" applyNumberFormat="1" applyFont="1" applyBorder="1"/>
    <xf numFmtId="6" fontId="2" fillId="0" borderId="12" xfId="0" applyNumberFormat="1" applyFont="1" applyBorder="1"/>
    <xf numFmtId="6" fontId="1" fillId="0" borderId="7" xfId="0" applyNumberFormat="1" applyFont="1" applyBorder="1"/>
    <xf numFmtId="0" fontId="7" fillId="0" borderId="14" xfId="0" applyFont="1" applyBorder="1"/>
    <xf numFmtId="6" fontId="2" fillId="0" borderId="15" xfId="0" applyNumberFormat="1" applyFont="1" applyBorder="1"/>
    <xf numFmtId="6" fontId="2" fillId="0" borderId="16" xfId="0" applyNumberFormat="1" applyFont="1" applyBorder="1"/>
    <xf numFmtId="0" fontId="7" fillId="3" borderId="17" xfId="0" applyFont="1" applyFill="1" applyBorder="1" applyAlignment="1">
      <alignment horizontal="left"/>
    </xf>
    <xf numFmtId="6" fontId="8" fillId="3" borderId="18" xfId="0" applyNumberFormat="1" applyFont="1" applyFill="1" applyBorder="1"/>
    <xf numFmtId="6" fontId="8" fillId="3" borderId="19" xfId="0" applyNumberFormat="1" applyFont="1" applyFill="1" applyBorder="1"/>
    <xf numFmtId="0" fontId="1" fillId="0" borderId="14" xfId="0" applyFont="1" applyBorder="1"/>
    <xf numFmtId="8" fontId="1" fillId="0" borderId="15" xfId="0" applyNumberFormat="1" applyFont="1" applyBorder="1"/>
    <xf numFmtId="8" fontId="2" fillId="0" borderId="16" xfId="0" applyNumberFormat="1" applyFont="1" applyBorder="1"/>
    <xf numFmtId="0" fontId="6" fillId="0" borderId="0" xfId="0" applyFont="1"/>
    <xf numFmtId="43" fontId="1" fillId="0" borderId="0" xfId="0" applyNumberFormat="1" applyFont="1"/>
    <xf numFmtId="14" fontId="1" fillId="0" borderId="0" xfId="0" applyNumberFormat="1" applyFont="1"/>
    <xf numFmtId="0" fontId="9" fillId="0" borderId="0" xfId="0" applyFont="1"/>
    <xf numFmtId="6" fontId="10" fillId="0" borderId="0" xfId="0" applyNumberFormat="1" applyFont="1"/>
    <xf numFmtId="6" fontId="10" fillId="0" borderId="7" xfId="0" applyNumberFormat="1" applyFont="1" applyBorder="1"/>
    <xf numFmtId="10" fontId="10" fillId="0" borderId="0" xfId="0" applyNumberFormat="1" applyFont="1"/>
    <xf numFmtId="41" fontId="6" fillId="0" borderId="0" xfId="0" applyNumberFormat="1" applyFont="1" applyAlignment="1">
      <alignment horizontal="center"/>
    </xf>
    <xf numFmtId="41" fontId="10" fillId="0" borderId="0" xfId="0" applyNumberFormat="1" applyFont="1" applyAlignment="1">
      <alignment horizontal="center"/>
    </xf>
    <xf numFmtId="41" fontId="10" fillId="0" borderId="7" xfId="0" applyNumberFormat="1" applyFont="1" applyBorder="1" applyAlignment="1">
      <alignment horizontal="center"/>
    </xf>
    <xf numFmtId="41" fontId="6" fillId="4" borderId="20" xfId="0" applyNumberFormat="1" applyFont="1" applyFill="1" applyBorder="1" applyAlignment="1">
      <alignment horizontal="center"/>
    </xf>
    <xf numFmtId="6" fontId="6" fillId="4" borderId="21" xfId="0" applyNumberFormat="1" applyFont="1" applyFill="1" applyBorder="1" applyAlignment="1">
      <alignment horizontal="center"/>
    </xf>
    <xf numFmtId="9" fontId="10" fillId="3" borderId="9" xfId="0" applyNumberFormat="1" applyFont="1" applyFill="1" applyBorder="1"/>
    <xf numFmtId="6" fontId="10" fillId="3" borderId="9" xfId="0" applyNumberFormat="1" applyFont="1" applyFill="1" applyBorder="1"/>
    <xf numFmtId="6" fontId="10" fillId="3" borderId="10" xfId="0" applyNumberFormat="1" applyFont="1" applyFill="1" applyBorder="1"/>
    <xf numFmtId="41" fontId="6" fillId="4" borderId="22" xfId="0" applyNumberFormat="1" applyFont="1" applyFill="1" applyBorder="1" applyAlignment="1">
      <alignment horizontal="center"/>
    </xf>
    <xf numFmtId="41" fontId="6" fillId="4" borderId="23" xfId="0" applyNumberFormat="1" applyFont="1" applyFill="1" applyBorder="1" applyAlignment="1">
      <alignment horizontal="center"/>
    </xf>
    <xf numFmtId="164" fontId="10" fillId="0" borderId="7" xfId="0" applyNumberFormat="1" applyFont="1" applyBorder="1" applyAlignment="1">
      <alignment horizontal="right"/>
    </xf>
    <xf numFmtId="0" fontId="1" fillId="0" borderId="24" xfId="0" applyFont="1" applyBorder="1"/>
    <xf numFmtId="0" fontId="1" fillId="0" borderId="25" xfId="0" applyFont="1" applyBorder="1"/>
    <xf numFmtId="41" fontId="10" fillId="0" borderId="25" xfId="0" applyNumberFormat="1" applyFont="1" applyBorder="1" applyAlignment="1">
      <alignment horizontal="center"/>
    </xf>
    <xf numFmtId="41" fontId="10" fillId="0" borderId="26" xfId="0" applyNumberFormat="1" applyFont="1" applyBorder="1" applyAlignment="1">
      <alignment horizontal="center"/>
    </xf>
    <xf numFmtId="6" fontId="11" fillId="0" borderId="0" xfId="0" applyNumberFormat="1" applyFont="1"/>
    <xf numFmtId="6" fontId="11" fillId="0" borderId="7" xfId="0" applyNumberFormat="1" applyFont="1" applyBorder="1"/>
    <xf numFmtId="0" fontId="12" fillId="3" borderId="27" xfId="0" applyFont="1" applyFill="1" applyBorder="1" applyAlignment="1">
      <alignment horizontal="left"/>
    </xf>
    <xf numFmtId="0" fontId="12" fillId="3" borderId="20" xfId="0" applyFont="1" applyFill="1" applyBorder="1"/>
    <xf numFmtId="9" fontId="13" fillId="3" borderId="20" xfId="0" applyNumberFormat="1" applyFont="1" applyFill="1" applyBorder="1"/>
    <xf numFmtId="9" fontId="13" fillId="3" borderId="21" xfId="0" applyNumberFormat="1" applyFont="1" applyFill="1" applyBorder="1"/>
    <xf numFmtId="0" fontId="12" fillId="3" borderId="28" xfId="0" applyFont="1" applyFill="1" applyBorder="1" applyAlignment="1">
      <alignment horizontal="left"/>
    </xf>
    <xf numFmtId="0" fontId="1" fillId="3" borderId="22" xfId="0" applyFont="1" applyFill="1" applyBorder="1"/>
    <xf numFmtId="41" fontId="13" fillId="3" borderId="22" xfId="0" applyNumberFormat="1" applyFont="1" applyFill="1" applyBorder="1"/>
    <xf numFmtId="41" fontId="13" fillId="3" borderId="23" xfId="0" applyNumberFormat="1" applyFont="1" applyFill="1" applyBorder="1"/>
    <xf numFmtId="0" fontId="9" fillId="0" borderId="15" xfId="0" applyFont="1" applyBorder="1"/>
    <xf numFmtId="10" fontId="10" fillId="0" borderId="16" xfId="0" applyNumberFormat="1" applyFont="1" applyBorder="1"/>
    <xf numFmtId="165" fontId="1" fillId="0" borderId="0" xfId="0" applyNumberFormat="1" applyFont="1" applyAlignment="1">
      <alignment horizontal="center"/>
    </xf>
    <xf numFmtId="41" fontId="6" fillId="4" borderId="21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12" xfId="0" applyFont="1" applyBorder="1" applyAlignment="1">
      <alignment horizontal="left"/>
    </xf>
    <xf numFmtId="6" fontId="10" fillId="0" borderId="12" xfId="0" applyNumberFormat="1" applyFont="1" applyBorder="1"/>
    <xf numFmtId="6" fontId="10" fillId="0" borderId="13" xfId="0" applyNumberFormat="1" applyFont="1" applyBorder="1"/>
    <xf numFmtId="0" fontId="9" fillId="0" borderId="7" xfId="0" applyFont="1" applyBorder="1"/>
    <xf numFmtId="41" fontId="13" fillId="3" borderId="22" xfId="0" applyNumberFormat="1" applyFont="1" applyFill="1" applyBorder="1" applyAlignment="1">
      <alignment horizontal="right"/>
    </xf>
    <xf numFmtId="41" fontId="13" fillId="3" borderId="23" xfId="0" applyNumberFormat="1" applyFont="1" applyFill="1" applyBorder="1" applyAlignment="1">
      <alignment horizontal="right"/>
    </xf>
    <xf numFmtId="6" fontId="9" fillId="0" borderId="0" xfId="0" applyNumberFormat="1" applyFont="1"/>
    <xf numFmtId="6" fontId="9" fillId="0" borderId="7" xfId="0" applyNumberFormat="1" applyFont="1" applyBorder="1"/>
    <xf numFmtId="0" fontId="9" fillId="3" borderId="18" xfId="0" applyFont="1" applyFill="1" applyBorder="1"/>
    <xf numFmtId="6" fontId="11" fillId="3" borderId="18" xfId="0" applyNumberFormat="1" applyFont="1" applyFill="1" applyBorder="1"/>
    <xf numFmtId="6" fontId="11" fillId="3" borderId="19" xfId="0" applyNumberFormat="1" applyFont="1" applyFill="1" applyBorder="1"/>
    <xf numFmtId="0" fontId="12" fillId="0" borderId="6" xfId="0" applyFont="1" applyBorder="1" applyAlignment="1">
      <alignment horizontal="left"/>
    </xf>
    <xf numFmtId="0" fontId="12" fillId="0" borderId="0" xfId="0" applyFont="1"/>
    <xf numFmtId="165" fontId="13" fillId="0" borderId="0" xfId="0" applyNumberFormat="1" applyFont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0" fontId="10" fillId="0" borderId="0" xfId="0" applyFont="1"/>
    <xf numFmtId="0" fontId="10" fillId="0" borderId="7" xfId="0" applyFont="1" applyBorder="1"/>
    <xf numFmtId="0" fontId="7" fillId="3" borderId="27" xfId="0" applyFont="1" applyFill="1" applyBorder="1"/>
    <xf numFmtId="0" fontId="1" fillId="3" borderId="20" xfId="0" applyFont="1" applyFill="1" applyBorder="1"/>
    <xf numFmtId="41" fontId="8" fillId="3" borderId="20" xfId="0" applyNumberFormat="1" applyFont="1" applyFill="1" applyBorder="1" applyAlignment="1">
      <alignment horizontal="center"/>
    </xf>
    <xf numFmtId="41" fontId="8" fillId="3" borderId="21" xfId="0" applyNumberFormat="1" applyFont="1" applyFill="1" applyBorder="1" applyAlignment="1">
      <alignment horizontal="center"/>
    </xf>
    <xf numFmtId="8" fontId="9" fillId="0" borderId="0" xfId="0" applyNumberFormat="1" applyFont="1"/>
    <xf numFmtId="8" fontId="9" fillId="0" borderId="7" xfId="0" applyNumberFormat="1" applyFont="1" applyBorder="1"/>
    <xf numFmtId="0" fontId="14" fillId="0" borderId="6" xfId="0" applyFont="1" applyBorder="1" applyAlignment="1">
      <alignment horizontal="left"/>
    </xf>
    <xf numFmtId="8" fontId="10" fillId="0" borderId="0" xfId="0" applyNumberFormat="1" applyFont="1"/>
    <xf numFmtId="8" fontId="10" fillId="0" borderId="7" xfId="0" applyNumberFormat="1" applyFont="1" applyBorder="1"/>
    <xf numFmtId="0" fontId="12" fillId="3" borderId="17" xfId="0" applyFont="1" applyFill="1" applyBorder="1" applyAlignment="1">
      <alignment horizontal="left"/>
    </xf>
    <xf numFmtId="165" fontId="15" fillId="3" borderId="18" xfId="0" applyNumberFormat="1" applyFont="1" applyFill="1" applyBorder="1"/>
    <xf numFmtId="9" fontId="15" fillId="3" borderId="18" xfId="0" applyNumberFormat="1" applyFont="1" applyFill="1" applyBorder="1"/>
    <xf numFmtId="9" fontId="15" fillId="3" borderId="19" xfId="0" applyNumberFormat="1" applyFont="1" applyFill="1" applyBorder="1"/>
    <xf numFmtId="41" fontId="9" fillId="0" borderId="0" xfId="0" applyNumberFormat="1" applyFont="1"/>
    <xf numFmtId="8" fontId="9" fillId="0" borderId="15" xfId="0" applyNumberFormat="1" applyFont="1" applyBorder="1"/>
    <xf numFmtId="8" fontId="10" fillId="0" borderId="16" xfId="0" applyNumberFormat="1" applyFont="1" applyBorder="1"/>
    <xf numFmtId="0" fontId="1" fillId="0" borderId="29" xfId="0" applyFont="1" applyBorder="1"/>
    <xf numFmtId="0" fontId="1" fillId="0" borderId="30" xfId="0" applyFont="1" applyBorder="1" applyAlignment="1">
      <alignment horizontal="right"/>
    </xf>
    <xf numFmtId="41" fontId="8" fillId="0" borderId="31" xfId="0" applyNumberFormat="1" applyFont="1" applyBorder="1"/>
    <xf numFmtId="0" fontId="7" fillId="0" borderId="0" xfId="0" applyFont="1" applyAlignment="1">
      <alignment horizontal="center" vertical="center"/>
    </xf>
    <xf numFmtId="0" fontId="16" fillId="0" borderId="0" xfId="0" applyFont="1"/>
    <xf numFmtId="0" fontId="1" fillId="0" borderId="32" xfId="0" applyFont="1" applyBorder="1"/>
    <xf numFmtId="41" fontId="2" fillId="4" borderId="20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33" xfId="0" applyFont="1" applyBorder="1"/>
    <xf numFmtId="41" fontId="2" fillId="4" borderId="22" xfId="0" applyNumberFormat="1" applyFont="1" applyFill="1" applyBorder="1" applyAlignment="1">
      <alignment horizontal="center"/>
    </xf>
    <xf numFmtId="41" fontId="8" fillId="0" borderId="0" xfId="0" applyNumberFormat="1" applyFont="1"/>
    <xf numFmtId="43" fontId="2" fillId="0" borderId="0" xfId="0" applyNumberFormat="1" applyFont="1"/>
    <xf numFmtId="41" fontId="1" fillId="0" borderId="0" xfId="0" applyNumberFormat="1" applyFont="1"/>
    <xf numFmtId="166" fontId="2" fillId="0" borderId="0" xfId="0" applyNumberFormat="1" applyFont="1"/>
    <xf numFmtId="0" fontId="17" fillId="0" borderId="0" xfId="0" applyFont="1"/>
    <xf numFmtId="167" fontId="17" fillId="0" borderId="0" xfId="0" applyNumberFormat="1" applyFont="1"/>
    <xf numFmtId="0" fontId="20" fillId="5" borderId="0" xfId="0" applyFont="1" applyFill="1"/>
    <xf numFmtId="167" fontId="20" fillId="5" borderId="0" xfId="0" applyNumberFormat="1" applyFont="1" applyFill="1"/>
    <xf numFmtId="0" fontId="21" fillId="6" borderId="0" xfId="0" applyFont="1" applyFill="1"/>
    <xf numFmtId="167" fontId="21" fillId="6" borderId="0" xfId="0" applyNumberFormat="1" applyFont="1" applyFill="1" applyAlignment="1">
      <alignment horizontal="right"/>
    </xf>
    <xf numFmtId="0" fontId="17" fillId="6" borderId="0" xfId="0" applyFont="1" applyFill="1"/>
    <xf numFmtId="0" fontId="21" fillId="0" borderId="0" xfId="0" applyFont="1"/>
    <xf numFmtId="167" fontId="21" fillId="0" borderId="0" xfId="0" applyNumberFormat="1" applyFont="1" applyAlignment="1">
      <alignment horizontal="right"/>
    </xf>
    <xf numFmtId="0" fontId="22" fillId="7" borderId="0" xfId="0" applyFont="1" applyFill="1"/>
    <xf numFmtId="167" fontId="22" fillId="7" borderId="0" xfId="0" applyNumberFormat="1" applyFont="1" applyFill="1" applyAlignment="1">
      <alignment horizontal="right"/>
    </xf>
    <xf numFmtId="0" fontId="17" fillId="7" borderId="0" xfId="0" applyFont="1" applyFill="1"/>
    <xf numFmtId="167" fontId="23" fillId="0" borderId="0" xfId="0" applyNumberFormat="1" applyFont="1" applyAlignment="1">
      <alignment horizontal="right"/>
    </xf>
    <xf numFmtId="167" fontId="24" fillId="0" borderId="0" xfId="0" applyNumberFormat="1" applyFont="1"/>
    <xf numFmtId="0" fontId="0" fillId="0" borderId="20" xfId="0" applyBorder="1"/>
    <xf numFmtId="0" fontId="26" fillId="0" borderId="6" xfId="0" applyFont="1" applyBorder="1" applyAlignment="1">
      <alignment horizontal="left"/>
    </xf>
    <xf numFmtId="44" fontId="0" fillId="0" borderId="20" xfId="0" applyNumberFormat="1" applyBorder="1"/>
    <xf numFmtId="44" fontId="8" fillId="3" borderId="18" xfId="0" applyNumberFormat="1" applyFont="1" applyFill="1" applyBorder="1" applyAlignment="1">
      <alignment horizontal="center"/>
    </xf>
    <xf numFmtId="44" fontId="8" fillId="3" borderId="19" xfId="0" applyNumberFormat="1" applyFont="1" applyFill="1" applyBorder="1" applyAlignment="1">
      <alignment horizontal="center"/>
    </xf>
    <xf numFmtId="0" fontId="7" fillId="0" borderId="27" xfId="0" applyFont="1" applyBorder="1"/>
    <xf numFmtId="44" fontId="1" fillId="0" borderId="21" xfId="0" applyNumberFormat="1" applyFont="1" applyBorder="1" applyAlignment="1">
      <alignment horizontal="center"/>
    </xf>
    <xf numFmtId="0" fontId="26" fillId="0" borderId="27" xfId="0" applyFont="1" applyBorder="1"/>
    <xf numFmtId="0" fontId="27" fillId="2" borderId="3" xfId="0" applyFont="1" applyFill="1" applyBorder="1"/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6" fillId="0" borderId="6" xfId="0" applyFont="1" applyBorder="1"/>
    <xf numFmtId="8" fontId="1" fillId="0" borderId="21" xfId="0" applyNumberFormat="1" applyFont="1" applyBorder="1"/>
    <xf numFmtId="0" fontId="26" fillId="0" borderId="35" xfId="0" applyFont="1" applyBorder="1" applyAlignment="1">
      <alignment horizontal="left"/>
    </xf>
    <xf numFmtId="0" fontId="1" fillId="0" borderId="34" xfId="0" applyFont="1" applyBorder="1"/>
    <xf numFmtId="0" fontId="26" fillId="0" borderId="14" xfId="0" applyFont="1" applyBorder="1"/>
    <xf numFmtId="8" fontId="6" fillId="0" borderId="20" xfId="0" applyNumberFormat="1" applyFont="1" applyBorder="1"/>
    <xf numFmtId="6" fontId="26" fillId="0" borderId="34" xfId="0" applyNumberFormat="1" applyFont="1" applyBorder="1"/>
    <xf numFmtId="6" fontId="2" fillId="0" borderId="37" xfId="0" applyNumberFormat="1" applyFont="1" applyBorder="1"/>
    <xf numFmtId="6" fontId="26" fillId="0" borderId="38" xfId="0" applyNumberFormat="1" applyFont="1" applyBorder="1"/>
    <xf numFmtId="167" fontId="6" fillId="0" borderId="20" xfId="0" applyNumberFormat="1" applyFont="1" applyBorder="1"/>
    <xf numFmtId="44" fontId="1" fillId="0" borderId="21" xfId="0" applyNumberFormat="1" applyFont="1" applyBorder="1"/>
    <xf numFmtId="0" fontId="26" fillId="0" borderId="11" xfId="0" applyFont="1" applyBorder="1" applyAlignment="1">
      <alignment horizontal="left"/>
    </xf>
    <xf numFmtId="14" fontId="29" fillId="0" borderId="1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6" fontId="6" fillId="0" borderId="20" xfId="0" applyNumberFormat="1" applyFont="1" applyBorder="1"/>
    <xf numFmtId="6" fontId="2" fillId="0" borderId="21" xfId="0" applyNumberFormat="1" applyFont="1" applyBorder="1"/>
    <xf numFmtId="6" fontId="6" fillId="0" borderId="21" xfId="0" applyNumberFormat="1" applyFont="1" applyBorder="1"/>
    <xf numFmtId="6" fontId="2" fillId="0" borderId="23" xfId="0" applyNumberFormat="1" applyFont="1" applyBorder="1"/>
    <xf numFmtId="2" fontId="26" fillId="0" borderId="20" xfId="0" applyNumberFormat="1" applyFont="1" applyBorder="1" applyAlignment="1">
      <alignment horizontal="center"/>
    </xf>
    <xf numFmtId="2" fontId="0" fillId="0" borderId="20" xfId="0" applyNumberFormat="1" applyBorder="1"/>
    <xf numFmtId="2" fontId="1" fillId="0" borderId="21" xfId="0" applyNumberFormat="1" applyFont="1" applyBorder="1"/>
    <xf numFmtId="2" fontId="1" fillId="0" borderId="21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0" fontId="26" fillId="0" borderId="0" xfId="0" applyFont="1"/>
    <xf numFmtId="0" fontId="27" fillId="2" borderId="40" xfId="0" applyFont="1" applyFill="1" applyBorder="1"/>
    <xf numFmtId="0" fontId="5" fillId="2" borderId="41" xfId="0" applyFont="1" applyFill="1" applyBorder="1" applyAlignment="1">
      <alignment horizontal="center"/>
    </xf>
    <xf numFmtId="0" fontId="26" fillId="0" borderId="42" xfId="0" applyFont="1" applyBorder="1" applyAlignment="1">
      <alignment horizontal="left"/>
    </xf>
    <xf numFmtId="0" fontId="26" fillId="0" borderId="42" xfId="0" applyFont="1" applyBorder="1"/>
    <xf numFmtId="0" fontId="1" fillId="0" borderId="42" xfId="0" applyFont="1" applyBorder="1" applyAlignment="1">
      <alignment horizontal="left"/>
    </xf>
    <xf numFmtId="0" fontId="0" fillId="0" borderId="42" xfId="0" applyBorder="1"/>
    <xf numFmtId="0" fontId="1" fillId="0" borderId="42" xfId="0" applyFont="1" applyBorder="1"/>
    <xf numFmtId="8" fontId="1" fillId="0" borderId="44" xfId="0" applyNumberFormat="1" applyFont="1" applyBorder="1"/>
    <xf numFmtId="0" fontId="30" fillId="0" borderId="43" xfId="0" applyFont="1" applyBorder="1"/>
    <xf numFmtId="8" fontId="6" fillId="0" borderId="39" xfId="0" applyNumberFormat="1" applyFont="1" applyBorder="1"/>
    <xf numFmtId="8" fontId="32" fillId="0" borderId="39" xfId="0" applyNumberFormat="1" applyFont="1" applyBorder="1"/>
    <xf numFmtId="6" fontId="26" fillId="0" borderId="12" xfId="0" applyNumberFormat="1" applyFont="1" applyBorder="1"/>
    <xf numFmtId="8" fontId="33" fillId="0" borderId="20" xfId="0" applyNumberFormat="1" applyFont="1" applyBorder="1"/>
    <xf numFmtId="6" fontId="33" fillId="0" borderId="37" xfId="0" applyNumberFormat="1" applyFont="1" applyBorder="1"/>
    <xf numFmtId="167" fontId="33" fillId="0" borderId="20" xfId="0" applyNumberFormat="1" applyFont="1" applyBorder="1"/>
    <xf numFmtId="8" fontId="33" fillId="0" borderId="0" xfId="0" applyNumberFormat="1" applyFont="1"/>
    <xf numFmtId="8" fontId="33" fillId="0" borderId="21" xfId="0" applyNumberFormat="1" applyFont="1" applyBorder="1"/>
    <xf numFmtId="8" fontId="33" fillId="0" borderId="7" xfId="0" applyNumberFormat="1" applyFont="1" applyBorder="1"/>
    <xf numFmtId="6" fontId="33" fillId="0" borderId="34" xfId="0" applyNumberFormat="1" applyFont="1" applyBorder="1"/>
    <xf numFmtId="6" fontId="33" fillId="0" borderId="38" xfId="0" applyNumberFormat="1" applyFont="1" applyBorder="1"/>
    <xf numFmtId="8" fontId="33" fillId="0" borderId="15" xfId="0" applyNumberFormat="1" applyFont="1" applyBorder="1"/>
    <xf numFmtId="8" fontId="33" fillId="0" borderId="16" xfId="0" applyNumberFormat="1" applyFont="1" applyBorder="1"/>
    <xf numFmtId="8" fontId="33" fillId="0" borderId="39" xfId="0" applyNumberFormat="1" applyFont="1" applyBorder="1"/>
    <xf numFmtId="8" fontId="33" fillId="0" borderId="44" xfId="0" applyNumberFormat="1" applyFont="1" applyBorder="1"/>
    <xf numFmtId="0" fontId="33" fillId="0" borderId="0" xfId="0" applyFont="1"/>
    <xf numFmtId="0" fontId="33" fillId="0" borderId="7" xfId="0" applyFont="1" applyBorder="1"/>
    <xf numFmtId="6" fontId="33" fillId="0" borderId="0" xfId="0" applyNumberFormat="1" applyFont="1"/>
    <xf numFmtId="6" fontId="33" fillId="0" borderId="7" xfId="0" applyNumberFormat="1" applyFont="1" applyBorder="1"/>
    <xf numFmtId="6" fontId="33" fillId="0" borderId="12" xfId="0" applyNumberFormat="1" applyFont="1" applyBorder="1"/>
    <xf numFmtId="6" fontId="33" fillId="0" borderId="13" xfId="0" applyNumberFormat="1" applyFont="1" applyBorder="1"/>
    <xf numFmtId="6" fontId="33" fillId="0" borderId="15" xfId="0" applyNumberFormat="1" applyFont="1" applyBorder="1"/>
    <xf numFmtId="6" fontId="33" fillId="0" borderId="16" xfId="0" applyNumberFormat="1" applyFont="1" applyBorder="1"/>
    <xf numFmtId="41" fontId="6" fillId="0" borderId="20" xfId="0" applyNumberFormat="1" applyFont="1" applyBorder="1" applyAlignment="1">
      <alignment horizontal="center"/>
    </xf>
    <xf numFmtId="41" fontId="6" fillId="0" borderId="22" xfId="0" applyNumberFormat="1" applyFont="1" applyBorder="1" applyAlignment="1">
      <alignment horizontal="center"/>
    </xf>
    <xf numFmtId="41" fontId="2" fillId="0" borderId="45" xfId="0" applyNumberFormat="1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1" fillId="0" borderId="27" xfId="0" applyFont="1" applyBorder="1" applyAlignment="1">
      <alignment horizontal="left"/>
    </xf>
    <xf numFmtId="41" fontId="33" fillId="0" borderId="20" xfId="0" applyNumberFormat="1" applyFont="1" applyBorder="1" applyAlignment="1">
      <alignment horizontal="center"/>
    </xf>
    <xf numFmtId="41" fontId="33" fillId="0" borderId="21" xfId="0" applyNumberFormat="1" applyFont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1" fillId="0" borderId="22" xfId="0" applyFont="1" applyBorder="1"/>
    <xf numFmtId="41" fontId="33" fillId="0" borderId="22" xfId="0" applyNumberFormat="1" applyFont="1" applyBorder="1" applyAlignment="1">
      <alignment horizontal="center"/>
    </xf>
    <xf numFmtId="0" fontId="1" fillId="0" borderId="27" xfId="0" applyFont="1" applyBorder="1"/>
    <xf numFmtId="41" fontId="33" fillId="0" borderId="20" xfId="0" applyNumberFormat="1" applyFont="1" applyBorder="1"/>
    <xf numFmtId="41" fontId="33" fillId="0" borderId="21" xfId="0" applyNumberFormat="1" applyFont="1" applyBorder="1"/>
    <xf numFmtId="41" fontId="1" fillId="0" borderId="20" xfId="0" applyNumberFormat="1" applyFont="1" applyBorder="1" applyAlignment="1">
      <alignment horizontal="center"/>
    </xf>
    <xf numFmtId="0" fontId="26" fillId="0" borderId="27" xfId="0" applyFont="1" applyBorder="1" applyAlignment="1">
      <alignment horizontal="left"/>
    </xf>
    <xf numFmtId="41" fontId="2" fillId="0" borderId="46" xfId="0" applyNumberFormat="1" applyFont="1" applyBorder="1" applyAlignment="1">
      <alignment horizontal="center"/>
    </xf>
    <xf numFmtId="0" fontId="7" fillId="0" borderId="20" xfId="0" applyFont="1" applyBorder="1"/>
    <xf numFmtId="41" fontId="2" fillId="0" borderId="20" xfId="0" applyNumberFormat="1" applyFont="1" applyBorder="1" applyAlignment="1">
      <alignment horizontal="center"/>
    </xf>
    <xf numFmtId="41" fontId="2" fillId="0" borderId="21" xfId="0" applyNumberFormat="1" applyFont="1" applyBorder="1" applyAlignment="1">
      <alignment horizontal="center"/>
    </xf>
    <xf numFmtId="0" fontId="12" fillId="0" borderId="27" xfId="0" applyFont="1" applyBorder="1" applyAlignment="1">
      <alignment horizontal="left"/>
    </xf>
    <xf numFmtId="165" fontId="13" fillId="0" borderId="20" xfId="0" applyNumberFormat="1" applyFont="1" applyBorder="1" applyAlignment="1">
      <alignment horizontal="center"/>
    </xf>
    <xf numFmtId="165" fontId="13" fillId="0" borderId="21" xfId="0" applyNumberFormat="1" applyFont="1" applyBorder="1" applyAlignment="1">
      <alignment horizontal="center"/>
    </xf>
    <xf numFmtId="0" fontId="14" fillId="0" borderId="27" xfId="0" applyFont="1" applyBorder="1" applyAlignment="1">
      <alignment horizontal="left"/>
    </xf>
    <xf numFmtId="0" fontId="0" fillId="0" borderId="21" xfId="0" applyBorder="1"/>
    <xf numFmtId="41" fontId="2" fillId="0" borderId="22" xfId="0" applyNumberFormat="1" applyFont="1" applyBorder="1" applyAlignment="1">
      <alignment horizontal="center"/>
    </xf>
    <xf numFmtId="41" fontId="31" fillId="0" borderId="0" xfId="0" applyNumberFormat="1" applyFont="1"/>
    <xf numFmtId="41" fontId="33" fillId="0" borderId="23" xfId="0" applyNumberFormat="1" applyFont="1" applyBorder="1" applyAlignment="1">
      <alignment horizontal="center"/>
    </xf>
    <xf numFmtId="165" fontId="1" fillId="0" borderId="21" xfId="0" applyNumberFormat="1" applyFont="1" applyBorder="1" applyAlignment="1">
      <alignment horizontal="center"/>
    </xf>
    <xf numFmtId="44" fontId="1" fillId="0" borderId="20" xfId="0" applyNumberFormat="1" applyFont="1" applyBorder="1"/>
    <xf numFmtId="2" fontId="2" fillId="0" borderId="20" xfId="0" applyNumberFormat="1" applyFont="1" applyBorder="1" applyAlignment="1">
      <alignment horizontal="center"/>
    </xf>
    <xf numFmtId="2" fontId="26" fillId="0" borderId="21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2" fontId="1" fillId="0" borderId="20" xfId="0" applyNumberFormat="1" applyFont="1" applyBorder="1"/>
    <xf numFmtId="2" fontId="1" fillId="0" borderId="20" xfId="0" applyNumberFormat="1" applyFont="1" applyBorder="1" applyAlignment="1">
      <alignment horizontal="center"/>
    </xf>
    <xf numFmtId="2" fontId="2" fillId="0" borderId="22" xfId="0" applyNumberFormat="1" applyFont="1" applyBorder="1" applyAlignment="1">
      <alignment horizontal="center"/>
    </xf>
    <xf numFmtId="44" fontId="1" fillId="0" borderId="20" xfId="0" applyNumberFormat="1" applyFont="1" applyBorder="1" applyAlignment="1">
      <alignment horizontal="center"/>
    </xf>
    <xf numFmtId="44" fontId="2" fillId="0" borderId="37" xfId="0" applyNumberFormat="1" applyFont="1" applyBorder="1"/>
    <xf numFmtId="10" fontId="2" fillId="0" borderId="16" xfId="0" applyNumberFormat="1" applyFont="1" applyBorder="1"/>
    <xf numFmtId="0" fontId="30" fillId="0" borderId="6" xfId="0" applyFont="1" applyBorder="1" applyAlignment="1">
      <alignment horizontal="left"/>
    </xf>
    <xf numFmtId="0" fontId="30" fillId="0" borderId="14" xfId="0" applyFont="1" applyBorder="1"/>
    <xf numFmtId="0" fontId="30" fillId="0" borderId="35" xfId="0" applyFont="1" applyBorder="1" applyAlignment="1">
      <alignment horizontal="left"/>
    </xf>
    <xf numFmtId="0" fontId="0" fillId="0" borderId="47" xfId="0" applyBorder="1"/>
    <xf numFmtId="0" fontId="0" fillId="0" borderId="48" xfId="0" applyBorder="1"/>
    <xf numFmtId="0" fontId="34" fillId="0" borderId="2" xfId="0" applyFont="1" applyBorder="1"/>
    <xf numFmtId="44" fontId="0" fillId="0" borderId="49" xfId="1" applyFont="1" applyBorder="1"/>
    <xf numFmtId="8" fontId="0" fillId="0" borderId="49" xfId="1" applyNumberFormat="1" applyFont="1" applyBorder="1"/>
    <xf numFmtId="44" fontId="35" fillId="8" borderId="49" xfId="0" applyNumberFormat="1" applyFont="1" applyFill="1" applyBorder="1"/>
    <xf numFmtId="168" fontId="0" fillId="0" borderId="49" xfId="0" applyNumberFormat="1" applyBorder="1"/>
    <xf numFmtId="0" fontId="0" fillId="0" borderId="49" xfId="0" applyBorder="1"/>
    <xf numFmtId="0" fontId="0" fillId="0" borderId="1" xfId="0" applyBorder="1"/>
    <xf numFmtId="0" fontId="0" fillId="0" borderId="2" xfId="0" applyBorder="1"/>
    <xf numFmtId="0" fontId="34" fillId="0" borderId="49" xfId="0" applyFont="1" applyBorder="1"/>
    <xf numFmtId="44" fontId="0" fillId="0" borderId="49" xfId="0" applyNumberFormat="1" applyBorder="1"/>
    <xf numFmtId="14" fontId="0" fillId="0" borderId="49" xfId="0" applyNumberFormat="1" applyBorder="1"/>
    <xf numFmtId="0" fontId="36" fillId="0" borderId="49" xfId="0" applyFont="1" applyBorder="1" applyAlignment="1">
      <alignment wrapText="1"/>
    </xf>
    <xf numFmtId="167" fontId="0" fillId="0" borderId="49" xfId="0" applyNumberFormat="1" applyBorder="1"/>
    <xf numFmtId="0" fontId="34" fillId="0" borderId="50" xfId="0" applyFont="1" applyBorder="1"/>
    <xf numFmtId="168" fontId="0" fillId="0" borderId="51" xfId="0" applyNumberFormat="1" applyBorder="1"/>
    <xf numFmtId="0" fontId="0" fillId="0" borderId="51" xfId="0" applyBorder="1"/>
    <xf numFmtId="44" fontId="0" fillId="0" borderId="51" xfId="0" applyNumberFormat="1" applyBorder="1"/>
    <xf numFmtId="0" fontId="0" fillId="0" borderId="52" xfId="0" applyBorder="1"/>
    <xf numFmtId="44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44" fontId="35" fillId="8" borderId="53" xfId="0" applyNumberFormat="1" applyFont="1" applyFill="1" applyBorder="1"/>
    <xf numFmtId="44" fontId="35" fillId="0" borderId="53" xfId="0" applyNumberFormat="1" applyFont="1" applyBorder="1"/>
    <xf numFmtId="4" fontId="1" fillId="0" borderId="0" xfId="0" applyNumberFormat="1" applyFont="1" applyAlignment="1">
      <alignment horizontal="center"/>
    </xf>
    <xf numFmtId="2" fontId="33" fillId="0" borderId="20" xfId="0" applyNumberFormat="1" applyFont="1" applyBorder="1"/>
    <xf numFmtId="2" fontId="33" fillId="0" borderId="37" xfId="0" applyNumberFormat="1" applyFont="1" applyBorder="1"/>
    <xf numFmtId="0" fontId="38" fillId="0" borderId="20" xfId="0" applyFont="1" applyBorder="1"/>
    <xf numFmtId="41" fontId="38" fillId="0" borderId="20" xfId="0" applyNumberFormat="1" applyFont="1" applyBorder="1" applyAlignment="1">
      <alignment horizontal="center"/>
    </xf>
    <xf numFmtId="41" fontId="38" fillId="0" borderId="21" xfId="0" applyNumberFormat="1" applyFont="1" applyBorder="1" applyAlignment="1">
      <alignment horizontal="center"/>
    </xf>
    <xf numFmtId="0" fontId="38" fillId="0" borderId="22" xfId="0" applyFont="1" applyBorder="1"/>
    <xf numFmtId="0" fontId="18" fillId="0" borderId="0" xfId="0" applyFont="1"/>
    <xf numFmtId="0" fontId="0" fillId="0" borderId="0" xfId="0"/>
    <xf numFmtId="0" fontId="19" fillId="0" borderId="0" xfId="0" applyFont="1"/>
  </cellXfs>
  <cellStyles count="2">
    <cellStyle name="Currency" xfId="1" builtinId="4"/>
    <cellStyle name="Normal" xfId="0" builtinId="0"/>
  </cellStyles>
  <dxfs count="2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fgColor rgb="FFF2F2F2"/>
          <bgColor rgb="FFF2F2F2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4" formatCode="0.00%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8" formatCode="_([$$-409]* #,##0.00_);_([$$-409]* \(#,##0.00\);_([$$-409]* &quot;-&quot;??_);_(@_)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BEF438-A22C-AB4C-89AF-4E436902D71E}" name="Table1348" displayName="Table1348" ref="B2:N14" totalsRowShown="0" headerRowDxfId="26" headerRowBorderDxfId="25" tableBorderDxfId="24" totalsRowBorderDxfId="23">
  <autoFilter ref="B2:N14" xr:uid="{33BEF438-A22C-AB4C-89AF-4E436902D71E}"/>
  <tableColumns count="13">
    <tableColumn id="1" xr3:uid="{C797ED8C-FF8A-3645-83B9-A7D98648F9D3}" name="Costs" dataDxfId="22"/>
    <tableColumn id="2" xr3:uid="{2B6D5955-76E9-CC4A-A227-164FB66F39B1}" name="July" dataDxfId="21"/>
    <tableColumn id="3" xr3:uid="{9499D2C6-2C32-BB45-BA12-32E2929F3865}" name="August" dataDxfId="20"/>
    <tableColumn id="4" xr3:uid="{7C5EB572-F995-EE42-8240-0FD233A73F9E}" name="September" dataDxfId="19"/>
    <tableColumn id="5" xr3:uid="{25340DFD-4915-6243-A2EB-58074052B8D0}" name="October" dataDxfId="18"/>
    <tableColumn id="6" xr3:uid="{B4275BCB-7C9A-C74F-8897-53345882F313}" name="November" dataDxfId="17"/>
    <tableColumn id="7" xr3:uid="{5014A097-DBA1-2041-B67C-432CFE8CE86E}" name="December" dataDxfId="16"/>
    <tableColumn id="8" xr3:uid="{0818CF6E-E04A-3649-8454-78E6FF471B34}" name="January" dataDxfId="15"/>
    <tableColumn id="9" xr3:uid="{A9536037-6F5B-AF4E-B0FB-83F71A73B667}" name="February" dataDxfId="14"/>
    <tableColumn id="10" xr3:uid="{4E77E11D-F196-C54E-9F99-732583CAEA89}" name="March" dataDxfId="13"/>
    <tableColumn id="11" xr3:uid="{03223968-0818-4146-9915-706ACE545485}" name="April" dataDxfId="12"/>
    <tableColumn id="12" xr3:uid="{795DB158-CD23-D04F-BE5B-1A5E2DB84D63}" name="May" dataDxfId="11"/>
    <tableColumn id="13" xr3:uid="{9BE2EF85-B6F6-304F-B069-B21F8ECDA779}" name="Jun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485DD1-9BAD-5D47-B55F-E3614E939CEA}" name="Table59" displayName="Table59" ref="B23:D27" totalsRowShown="0" headerRowDxfId="9">
  <autoFilter ref="B23:D27" xr:uid="{DE485DD1-9BAD-5D47-B55F-E3614E939CEA}"/>
  <tableColumns count="3">
    <tableColumn id="1" xr3:uid="{9FD4AD67-1F36-F847-B116-E3832722A29A}" name="Compared to last month"/>
    <tableColumn id="2" xr3:uid="{066D0146-F96B-974A-99F4-B30AC0AD850F}" name="%∆" dataDxfId="8">
      <calculatedColumnFormula xml:space="preserve"> (C18 - D24) / D24</calculatedColumnFormula>
    </tableColumn>
    <tableColumn id="3" xr3:uid="{99AF3D0D-BF50-4A4E-A435-96CD4F22A6CB}" name="Last mon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9EC11E-51E9-3A46-88EE-771EE8D7B726}" name="Table610" displayName="Table610" ref="B17:D21" totalsRowShown="0">
  <autoFilter ref="B17:D21" xr:uid="{E39EC11E-51E9-3A46-88EE-771EE8D7B726}"/>
  <tableColumns count="3">
    <tableColumn id="1" xr3:uid="{E8FA2794-10D9-CD41-B7E2-706602717C0C}" name="Monthly"/>
    <tableColumn id="2" xr3:uid="{F5BCA265-5987-034B-846A-AE03E3BF1759}" name="Per Person" dataDxfId="7"/>
    <tableColumn id="3" xr3:uid="{FE105ECD-6C2C-0747-836E-592607750699}" name="Total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3041"/>
    <pageSetUpPr fitToPage="1"/>
  </sheetPr>
  <dimension ref="A1:Z1002"/>
  <sheetViews>
    <sheetView showGridLines="0" tabSelected="1" topLeftCell="A2" zoomScale="150" zoomScaleNormal="124" workbookViewId="0">
      <selection activeCell="J14" sqref="J14"/>
    </sheetView>
  </sheetViews>
  <sheetFormatPr baseColWidth="10" defaultColWidth="12.6640625" defaultRowHeight="15" customHeight="1" x14ac:dyDescent="0.2"/>
  <cols>
    <col min="1" max="2" width="1.6640625" customWidth="1"/>
    <col min="3" max="3" width="23" customWidth="1"/>
    <col min="4" max="4" width="11.1640625" customWidth="1"/>
    <col min="5" max="6" width="10.6640625" customWidth="1"/>
    <col min="7" max="7" width="1.6640625" customWidth="1"/>
    <col min="8" max="8" width="16.6640625" customWidth="1"/>
    <col min="9" max="9" width="8.6640625" customWidth="1"/>
    <col min="10" max="10" width="9.83203125" bestFit="1" customWidth="1"/>
    <col min="11" max="12" width="10" bestFit="1" customWidth="1"/>
    <col min="13" max="13" width="10.6640625" bestFit="1" customWidth="1"/>
    <col min="14" max="21" width="10" bestFit="1" customWidth="1"/>
    <col min="22" max="25" width="9.83203125" bestFit="1" customWidth="1"/>
    <col min="26" max="26" width="10.6640625" bestFit="1" customWidth="1"/>
  </cols>
  <sheetData>
    <row r="1" spans="1:26" ht="6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1"/>
      <c r="C3" s="189">
        <f ca="1">TODAY()</f>
        <v>46252</v>
      </c>
      <c r="D3" s="190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">
      <c r="A5" s="1"/>
      <c r="B5" s="1"/>
      <c r="C5" s="4" t="s">
        <v>1</v>
      </c>
      <c r="D5" s="5"/>
      <c r="E5" s="6" t="s">
        <v>2</v>
      </c>
      <c r="F5" s="7" t="s">
        <v>3</v>
      </c>
      <c r="G5" s="1"/>
      <c r="H5" s="8"/>
      <c r="I5" s="10">
        <v>46204</v>
      </c>
      <c r="J5" s="9">
        <v>46235</v>
      </c>
      <c r="K5" s="9">
        <v>46295</v>
      </c>
      <c r="L5" s="9">
        <f t="shared" ref="L5:T5" si="0">EDATE(K5,1)</f>
        <v>46325</v>
      </c>
      <c r="M5" s="9">
        <f t="shared" si="0"/>
        <v>46356</v>
      </c>
      <c r="N5" s="9">
        <f t="shared" si="0"/>
        <v>46386</v>
      </c>
      <c r="O5" s="9">
        <f t="shared" si="0"/>
        <v>46417</v>
      </c>
      <c r="P5" s="9">
        <f t="shared" si="0"/>
        <v>46446</v>
      </c>
      <c r="Q5" s="9">
        <f t="shared" si="0"/>
        <v>46474</v>
      </c>
      <c r="R5" s="9">
        <f t="shared" si="0"/>
        <v>46505</v>
      </c>
      <c r="S5" s="9">
        <f t="shared" si="0"/>
        <v>46535</v>
      </c>
      <c r="T5" s="9">
        <f t="shared" si="0"/>
        <v>46566</v>
      </c>
      <c r="U5" s="10">
        <f>EDATE(T5,1)</f>
        <v>46596</v>
      </c>
    </row>
    <row r="6" spans="1:26" ht="12" customHeight="1" x14ac:dyDescent="0.2">
      <c r="A6" s="1"/>
      <c r="B6" s="1"/>
      <c r="C6" s="11" t="s">
        <v>4</v>
      </c>
      <c r="D6" s="1"/>
      <c r="E6" s="12">
        <v>122500</v>
      </c>
      <c r="F6" s="13">
        <f>E6-F7</f>
        <v>88004</v>
      </c>
      <c r="G6" s="1"/>
      <c r="H6" s="171" t="s">
        <v>1</v>
      </c>
      <c r="I6" s="238"/>
      <c r="J6" s="168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187"/>
    </row>
    <row r="7" spans="1:26" ht="12" customHeight="1" x14ac:dyDescent="0.2">
      <c r="A7" s="1"/>
      <c r="B7" s="1"/>
      <c r="C7" s="11" t="s">
        <v>5</v>
      </c>
      <c r="D7" s="16">
        <v>0.28160000000000002</v>
      </c>
      <c r="E7" s="1"/>
      <c r="F7" s="13">
        <f>D7*E6</f>
        <v>34496</v>
      </c>
      <c r="G7" s="1"/>
      <c r="H7" s="240" t="s">
        <v>6</v>
      </c>
      <c r="I7" s="238">
        <v>0</v>
      </c>
      <c r="J7" s="265">
        <f>$F$8</f>
        <v>7333.666666666667</v>
      </c>
      <c r="K7" s="265">
        <f>$F$8</f>
        <v>7333.666666666667</v>
      </c>
      <c r="L7" s="265">
        <f>$F$8</f>
        <v>7333.666666666667</v>
      </c>
      <c r="M7" s="265">
        <f t="shared" ref="M7:U7" si="1">$F$8</f>
        <v>7333.666666666667</v>
      </c>
      <c r="N7" s="265">
        <f t="shared" si="1"/>
        <v>7333.666666666667</v>
      </c>
      <c r="O7" s="265">
        <f t="shared" si="1"/>
        <v>7333.666666666667</v>
      </c>
      <c r="P7" s="265">
        <f t="shared" si="1"/>
        <v>7333.666666666667</v>
      </c>
      <c r="Q7" s="265">
        <f t="shared" si="1"/>
        <v>7333.666666666667</v>
      </c>
      <c r="R7" s="265">
        <f t="shared" si="1"/>
        <v>7333.666666666667</v>
      </c>
      <c r="S7" s="265">
        <f t="shared" si="1"/>
        <v>7333.666666666667</v>
      </c>
      <c r="T7" s="265">
        <f t="shared" si="1"/>
        <v>7333.666666666667</v>
      </c>
      <c r="U7" s="199">
        <f t="shared" si="1"/>
        <v>7333.666666666667</v>
      </c>
    </row>
    <row r="8" spans="1:26" ht="12" customHeight="1" x14ac:dyDescent="0.2">
      <c r="A8" s="1"/>
      <c r="B8" s="1"/>
      <c r="C8" s="11" t="s">
        <v>7</v>
      </c>
      <c r="D8" s="1"/>
      <c r="E8" s="19">
        <f t="shared" ref="E8:F8" si="2">E6/12</f>
        <v>10208.333333333334</v>
      </c>
      <c r="F8" s="13">
        <f t="shared" si="2"/>
        <v>7333.666666666667</v>
      </c>
      <c r="G8" s="1"/>
      <c r="H8" s="240" t="s">
        <v>8</v>
      </c>
      <c r="I8" s="238">
        <v>0</v>
      </c>
      <c r="J8" s="265">
        <f>IF(J$5=$F$12, $F$10, 0)</f>
        <v>7000</v>
      </c>
      <c r="K8" s="265">
        <f t="shared" ref="K8:U8" si="3">IF(K$5=$F$12, $F$10, 0)</f>
        <v>0</v>
      </c>
      <c r="L8" s="265">
        <f t="shared" si="3"/>
        <v>0</v>
      </c>
      <c r="M8" s="265">
        <f t="shared" si="3"/>
        <v>0</v>
      </c>
      <c r="N8" s="265">
        <f t="shared" si="3"/>
        <v>0</v>
      </c>
      <c r="O8" s="265">
        <f t="shared" si="3"/>
        <v>0</v>
      </c>
      <c r="P8" s="265">
        <f t="shared" si="3"/>
        <v>0</v>
      </c>
      <c r="Q8" s="265">
        <f t="shared" si="3"/>
        <v>0</v>
      </c>
      <c r="R8" s="265">
        <f t="shared" si="3"/>
        <v>0</v>
      </c>
      <c r="S8" s="265">
        <f t="shared" si="3"/>
        <v>0</v>
      </c>
      <c r="T8" s="265">
        <f t="shared" si="3"/>
        <v>0</v>
      </c>
      <c r="U8" s="199">
        <f t="shared" si="3"/>
        <v>0</v>
      </c>
    </row>
    <row r="9" spans="1:26" ht="12" customHeight="1" x14ac:dyDescent="0.2">
      <c r="A9" s="1"/>
      <c r="B9" s="1"/>
      <c r="C9" s="20" t="s">
        <v>9</v>
      </c>
      <c r="D9" s="21">
        <v>0.3</v>
      </c>
      <c r="E9" s="22">
        <f>E8*D9</f>
        <v>3062.5</v>
      </c>
      <c r="F9" s="23">
        <f>F8*D9</f>
        <v>2200.1</v>
      </c>
      <c r="G9" s="1"/>
      <c r="H9" s="240" t="s">
        <v>10</v>
      </c>
      <c r="I9" s="238">
        <v>0</v>
      </c>
      <c r="J9" s="265">
        <f>I21*($F$15/12)</f>
        <v>0</v>
      </c>
      <c r="K9" s="265">
        <f t="shared" ref="K9:U9" si="4">J21*($F$15/12)</f>
        <v>0</v>
      </c>
      <c r="L9" s="265">
        <f t="shared" si="4"/>
        <v>0</v>
      </c>
      <c r="M9" s="265">
        <f t="shared" si="4"/>
        <v>0</v>
      </c>
      <c r="N9" s="265">
        <f t="shared" si="4"/>
        <v>0</v>
      </c>
      <c r="O9" s="265">
        <f t="shared" si="4"/>
        <v>0</v>
      </c>
      <c r="P9" s="265">
        <f t="shared" si="4"/>
        <v>0</v>
      </c>
      <c r="Q9" s="265">
        <f t="shared" si="4"/>
        <v>0</v>
      </c>
      <c r="R9" s="265">
        <f t="shared" si="4"/>
        <v>0</v>
      </c>
      <c r="S9" s="265">
        <f t="shared" si="4"/>
        <v>0</v>
      </c>
      <c r="T9" s="265">
        <f t="shared" si="4"/>
        <v>0</v>
      </c>
      <c r="U9" s="199">
        <f t="shared" si="4"/>
        <v>0</v>
      </c>
    </row>
    <row r="10" spans="1:26" ht="12" customHeight="1" x14ac:dyDescent="0.2">
      <c r="A10" s="1"/>
      <c r="B10" s="1"/>
      <c r="C10" s="11" t="s">
        <v>11</v>
      </c>
      <c r="D10" s="1"/>
      <c r="E10" s="12">
        <v>10000</v>
      </c>
      <c r="F10" s="13">
        <f>E10-F11</f>
        <v>7000</v>
      </c>
      <c r="G10" s="1"/>
      <c r="H10" s="243" t="s">
        <v>12</v>
      </c>
      <c r="I10" s="244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266"/>
    </row>
    <row r="11" spans="1:26" ht="12" customHeight="1" x14ac:dyDescent="0.2">
      <c r="A11" s="1"/>
      <c r="B11" s="1"/>
      <c r="C11" s="11" t="s">
        <v>5</v>
      </c>
      <c r="D11" s="16">
        <v>0.3</v>
      </c>
      <c r="E11" s="1"/>
      <c r="F11" s="13">
        <f>D11*E10</f>
        <v>3000</v>
      </c>
      <c r="G11" s="1"/>
      <c r="H11" s="246" t="s">
        <v>13</v>
      </c>
      <c r="I11" s="201">
        <f>SUM(I7:I10)</f>
        <v>0</v>
      </c>
      <c r="J11" s="201">
        <f>SUM(J7:J10)</f>
        <v>14333.666666666668</v>
      </c>
      <c r="K11" s="201">
        <f>SUM(K7:K10)</f>
        <v>7333.666666666667</v>
      </c>
      <c r="L11" s="201">
        <f t="shared" ref="L11:U11" si="5">SUM(L7:L10)</f>
        <v>7333.666666666667</v>
      </c>
      <c r="M11" s="201">
        <f t="shared" si="5"/>
        <v>7333.666666666667</v>
      </c>
      <c r="N11" s="201">
        <f t="shared" si="5"/>
        <v>7333.666666666667</v>
      </c>
      <c r="O11" s="201">
        <f t="shared" si="5"/>
        <v>7333.666666666667</v>
      </c>
      <c r="P11" s="201">
        <f t="shared" si="5"/>
        <v>7333.666666666667</v>
      </c>
      <c r="Q11" s="201">
        <f t="shared" si="5"/>
        <v>7333.666666666667</v>
      </c>
      <c r="R11" s="201">
        <f t="shared" si="5"/>
        <v>7333.666666666667</v>
      </c>
      <c r="S11" s="201">
        <f t="shared" si="5"/>
        <v>7333.666666666667</v>
      </c>
      <c r="T11" s="201">
        <f t="shared" si="5"/>
        <v>7333.666666666667</v>
      </c>
      <c r="U11" s="267">
        <f t="shared" si="5"/>
        <v>7333.666666666667</v>
      </c>
    </row>
    <row r="12" spans="1:26" ht="12" customHeight="1" x14ac:dyDescent="0.2">
      <c r="A12" s="1"/>
      <c r="B12" s="1"/>
      <c r="C12" s="11" t="s">
        <v>14</v>
      </c>
      <c r="D12" s="1"/>
      <c r="E12" s="1"/>
      <c r="F12" s="30">
        <v>46235</v>
      </c>
      <c r="G12" s="1"/>
      <c r="H12" s="246"/>
      <c r="I12" s="238"/>
      <c r="J12" s="196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197"/>
    </row>
    <row r="13" spans="1:26" ht="12" customHeight="1" x14ac:dyDescent="0.2">
      <c r="A13" s="1"/>
      <c r="B13" s="1"/>
      <c r="C13" s="31" t="s">
        <v>15</v>
      </c>
      <c r="D13" s="1"/>
      <c r="E13" s="32">
        <f t="shared" ref="E13" si="6">E6+E10</f>
        <v>132500</v>
      </c>
      <c r="F13" s="33">
        <f>F6+F10</f>
        <v>95004</v>
      </c>
      <c r="G13" s="1"/>
      <c r="H13" s="171" t="s">
        <v>16</v>
      </c>
      <c r="I13" s="238"/>
      <c r="J13" s="196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198"/>
    </row>
    <row r="14" spans="1:26" ht="12" customHeight="1" x14ac:dyDescent="0.2">
      <c r="A14" s="1"/>
      <c r="B14" s="1"/>
      <c r="C14" s="31" t="s">
        <v>17</v>
      </c>
      <c r="D14" s="1"/>
      <c r="E14" s="1"/>
      <c r="F14" s="33">
        <f>F11+F7</f>
        <v>37496</v>
      </c>
      <c r="G14" s="1"/>
      <c r="H14" s="173" t="s">
        <v>62</v>
      </c>
      <c r="I14" s="265">
        <f>$F$31</f>
        <v>8000</v>
      </c>
      <c r="J14" s="302">
        <v>1297.8499999999999</v>
      </c>
      <c r="K14" s="265">
        <f t="shared" ref="K14:U14" si="7">$F$36</f>
        <v>2435</v>
      </c>
      <c r="L14" s="265">
        <f t="shared" si="7"/>
        <v>2435</v>
      </c>
      <c r="M14" s="265">
        <f t="shared" si="7"/>
        <v>2435</v>
      </c>
      <c r="N14" s="265">
        <f t="shared" si="7"/>
        <v>2435</v>
      </c>
      <c r="O14" s="265">
        <f t="shared" si="7"/>
        <v>2435</v>
      </c>
      <c r="P14" s="265">
        <f t="shared" si="7"/>
        <v>2435</v>
      </c>
      <c r="Q14" s="265">
        <f t="shared" si="7"/>
        <v>2435</v>
      </c>
      <c r="R14" s="265">
        <f t="shared" si="7"/>
        <v>2435</v>
      </c>
      <c r="S14" s="265">
        <f t="shared" si="7"/>
        <v>2435</v>
      </c>
      <c r="T14" s="265">
        <f t="shared" si="7"/>
        <v>2435</v>
      </c>
      <c r="U14" s="199">
        <f t="shared" si="7"/>
        <v>2435</v>
      </c>
    </row>
    <row r="15" spans="1:26" ht="12" customHeight="1" thickBot="1" x14ac:dyDescent="0.25">
      <c r="A15" s="1"/>
      <c r="B15" s="1"/>
      <c r="C15" s="36" t="s">
        <v>18</v>
      </c>
      <c r="D15" s="37"/>
      <c r="E15" s="37"/>
      <c r="F15" s="38">
        <v>0</v>
      </c>
      <c r="G15" s="1"/>
      <c r="H15" s="250" t="s">
        <v>89</v>
      </c>
      <c r="I15" s="238"/>
      <c r="J15" s="265">
        <f>$E$23</f>
        <v>1364.0633333333333</v>
      </c>
      <c r="K15" s="265">
        <f t="shared" ref="K15:U15" si="8">$E$23</f>
        <v>1364.0633333333333</v>
      </c>
      <c r="L15" s="265">
        <f t="shared" si="8"/>
        <v>1364.0633333333333</v>
      </c>
      <c r="M15" s="265">
        <f t="shared" si="8"/>
        <v>1364.0633333333333</v>
      </c>
      <c r="N15" s="265">
        <f t="shared" si="8"/>
        <v>1364.0633333333333</v>
      </c>
      <c r="O15" s="265">
        <f t="shared" si="8"/>
        <v>1364.0633333333333</v>
      </c>
      <c r="P15" s="265">
        <f t="shared" si="8"/>
        <v>1364.0633333333333</v>
      </c>
      <c r="Q15" s="265">
        <f t="shared" si="8"/>
        <v>1364.0633333333333</v>
      </c>
      <c r="R15" s="265">
        <f t="shared" si="8"/>
        <v>1364.0633333333333</v>
      </c>
      <c r="S15" s="265">
        <f t="shared" si="8"/>
        <v>1364.0633333333333</v>
      </c>
      <c r="T15" s="265">
        <f t="shared" si="8"/>
        <v>1364.0633333333333</v>
      </c>
      <c r="U15" s="199">
        <f t="shared" si="8"/>
        <v>1364.0633333333333</v>
      </c>
    </row>
    <row r="16" spans="1:26" ht="12" customHeight="1" thickBot="1" x14ac:dyDescent="0.25">
      <c r="A16" s="1"/>
      <c r="B16" s="1"/>
      <c r="C16" s="1"/>
      <c r="D16" s="1"/>
      <c r="E16" s="1"/>
      <c r="F16" s="1"/>
      <c r="G16" s="1"/>
      <c r="H16" s="243" t="s">
        <v>19</v>
      </c>
      <c r="I16" s="244"/>
      <c r="J16" s="270">
        <f>$E$25</f>
        <v>750</v>
      </c>
      <c r="K16" s="270">
        <f t="shared" ref="K16:U16" si="9">$E$25</f>
        <v>750</v>
      </c>
      <c r="L16" s="270">
        <f t="shared" si="9"/>
        <v>750</v>
      </c>
      <c r="M16" s="270">
        <f t="shared" si="9"/>
        <v>750</v>
      </c>
      <c r="N16" s="270">
        <f t="shared" si="9"/>
        <v>750</v>
      </c>
      <c r="O16" s="270">
        <f t="shared" si="9"/>
        <v>750</v>
      </c>
      <c r="P16" s="270">
        <f t="shared" si="9"/>
        <v>750</v>
      </c>
      <c r="Q16" s="270">
        <f t="shared" si="9"/>
        <v>750</v>
      </c>
      <c r="R16" s="270">
        <f t="shared" si="9"/>
        <v>750</v>
      </c>
      <c r="S16" s="270">
        <f t="shared" si="9"/>
        <v>750</v>
      </c>
      <c r="T16" s="270">
        <f t="shared" si="9"/>
        <v>750</v>
      </c>
      <c r="U16" s="200">
        <f t="shared" si="9"/>
        <v>750</v>
      </c>
    </row>
    <row r="17" spans="1:26" ht="12" customHeight="1" x14ac:dyDescent="0.2">
      <c r="A17" s="1"/>
      <c r="B17" s="1"/>
      <c r="C17" s="4" t="s">
        <v>21</v>
      </c>
      <c r="D17" s="5"/>
      <c r="E17" s="6" t="s">
        <v>22</v>
      </c>
      <c r="F17" s="7" t="s">
        <v>23</v>
      </c>
      <c r="G17" s="1"/>
      <c r="H17" s="246" t="s">
        <v>20</v>
      </c>
      <c r="I17" s="238"/>
      <c r="J17" s="265">
        <f>SUM(J14:J16)</f>
        <v>3411.913333333333</v>
      </c>
      <c r="K17" s="265">
        <f t="shared" ref="K17:U17" si="10">SUM(K14:K16)</f>
        <v>4549.0633333333335</v>
      </c>
      <c r="L17" s="265">
        <f t="shared" si="10"/>
        <v>4549.0633333333335</v>
      </c>
      <c r="M17" s="265">
        <f t="shared" si="10"/>
        <v>4549.0633333333335</v>
      </c>
      <c r="N17" s="265">
        <f t="shared" si="10"/>
        <v>4549.0633333333335</v>
      </c>
      <c r="O17" s="265">
        <f t="shared" si="10"/>
        <v>4549.0633333333335</v>
      </c>
      <c r="P17" s="265">
        <f t="shared" si="10"/>
        <v>4549.0633333333335</v>
      </c>
      <c r="Q17" s="265">
        <f t="shared" si="10"/>
        <v>4549.0633333333335</v>
      </c>
      <c r="R17" s="265">
        <f t="shared" si="10"/>
        <v>4549.0633333333335</v>
      </c>
      <c r="S17" s="265">
        <f t="shared" si="10"/>
        <v>4549.0633333333335</v>
      </c>
      <c r="T17" s="265">
        <f t="shared" si="10"/>
        <v>4549.0633333333335</v>
      </c>
      <c r="U17" s="199">
        <f t="shared" si="10"/>
        <v>4549.0633333333335</v>
      </c>
    </row>
    <row r="18" spans="1:26" ht="12" customHeight="1" x14ac:dyDescent="0.2">
      <c r="A18" s="1"/>
      <c r="B18" s="1"/>
      <c r="C18" s="11" t="s">
        <v>24</v>
      </c>
      <c r="D18" s="40"/>
      <c r="E18" s="19">
        <v>60</v>
      </c>
      <c r="F18" s="192">
        <f>E18/4</f>
        <v>15</v>
      </c>
      <c r="G18" s="1"/>
      <c r="H18" s="246"/>
      <c r="I18" s="238"/>
      <c r="J18" s="196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198"/>
    </row>
    <row r="19" spans="1:26" ht="12" customHeight="1" x14ac:dyDescent="0.2">
      <c r="A19" s="1"/>
      <c r="B19" s="1"/>
      <c r="C19" s="11" t="s">
        <v>26</v>
      </c>
      <c r="D19" s="42">
        <v>3</v>
      </c>
      <c r="E19" s="19">
        <f>F19*4</f>
        <v>168</v>
      </c>
      <c r="F19" s="192">
        <f>14*D19</f>
        <v>42</v>
      </c>
      <c r="G19" s="1"/>
      <c r="H19" s="171" t="s">
        <v>25</v>
      </c>
      <c r="I19" s="252"/>
      <c r="J19" s="265">
        <f t="shared" ref="J19:U19" si="11">SUM(J11,-J17)</f>
        <v>10921.753333333334</v>
      </c>
      <c r="K19" s="265">
        <f t="shared" si="11"/>
        <v>2784.6033333333335</v>
      </c>
      <c r="L19" s="265">
        <f t="shared" si="11"/>
        <v>2784.6033333333335</v>
      </c>
      <c r="M19" s="265">
        <f t="shared" si="11"/>
        <v>2784.6033333333335</v>
      </c>
      <c r="N19" s="265">
        <f t="shared" si="11"/>
        <v>2784.6033333333335</v>
      </c>
      <c r="O19" s="265">
        <f t="shared" si="11"/>
        <v>2784.6033333333335</v>
      </c>
      <c r="P19" s="265">
        <f t="shared" si="11"/>
        <v>2784.6033333333335</v>
      </c>
      <c r="Q19" s="265">
        <f t="shared" si="11"/>
        <v>2784.6033333333335</v>
      </c>
      <c r="R19" s="265">
        <f t="shared" si="11"/>
        <v>2784.6033333333335</v>
      </c>
      <c r="S19" s="265">
        <f t="shared" si="11"/>
        <v>2784.6033333333335</v>
      </c>
      <c r="T19" s="265">
        <f t="shared" si="11"/>
        <v>2784.6033333333335</v>
      </c>
      <c r="U19" s="199">
        <f t="shared" si="11"/>
        <v>2784.6033333333335</v>
      </c>
    </row>
    <row r="20" spans="1:26" ht="12" customHeight="1" x14ac:dyDescent="0.2">
      <c r="A20" s="1"/>
      <c r="B20" s="1"/>
      <c r="C20" s="11" t="s">
        <v>27</v>
      </c>
      <c r="D20" s="40"/>
      <c r="E20" s="19">
        <f t="shared" ref="E20" si="12">F20*4</f>
        <v>600</v>
      </c>
      <c r="F20" s="193">
        <v>150</v>
      </c>
      <c r="G20" s="1"/>
      <c r="H20" s="246"/>
      <c r="I20" s="238"/>
      <c r="J20" s="168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172"/>
    </row>
    <row r="21" spans="1:26" ht="12" customHeight="1" thickBot="1" x14ac:dyDescent="0.25">
      <c r="A21" s="1"/>
      <c r="B21" s="1"/>
      <c r="C21" s="167" t="s">
        <v>79</v>
      </c>
      <c r="D21" s="40"/>
      <c r="E21" s="191">
        <f>500</f>
        <v>500</v>
      </c>
      <c r="F21" s="192">
        <f>E21 / 4</f>
        <v>125</v>
      </c>
      <c r="G21" s="1"/>
      <c r="H21" s="43" t="s">
        <v>28</v>
      </c>
      <c r="I21" s="44"/>
      <c r="J21" s="169">
        <f>SUM($J$19:J19)</f>
        <v>10921.753333333334</v>
      </c>
      <c r="K21" s="169">
        <f>SUM($J$19:K19)</f>
        <v>13706.356666666667</v>
      </c>
      <c r="L21" s="169">
        <f>SUM($J$19:L19)</f>
        <v>16490.96</v>
      </c>
      <c r="M21" s="169">
        <f>SUM($J$19:M19)</f>
        <v>19275.563333333332</v>
      </c>
      <c r="N21" s="169">
        <f>SUM($J$19:N19)</f>
        <v>22060.166666666664</v>
      </c>
      <c r="O21" s="169">
        <f>SUM($J$19:O19)</f>
        <v>24844.769999999997</v>
      </c>
      <c r="P21" s="169">
        <f>SUM($J$19:P19)</f>
        <v>27629.373333333329</v>
      </c>
      <c r="Q21" s="169">
        <f>SUM($J$19:Q19)</f>
        <v>30413.976666666662</v>
      </c>
      <c r="R21" s="169">
        <f>SUM($J$19:R19)</f>
        <v>33198.579999999994</v>
      </c>
      <c r="S21" s="169">
        <f>SUM($J$19:S19)</f>
        <v>35983.183333333327</v>
      </c>
      <c r="T21" s="169">
        <f>SUM($J$19:T19)</f>
        <v>38767.78666666666</v>
      </c>
      <c r="U21" s="170">
        <f>SUM($J$19:U19)</f>
        <v>41552.389999999992</v>
      </c>
    </row>
    <row r="22" spans="1:26" ht="12" customHeight="1" thickBot="1" x14ac:dyDescent="0.25">
      <c r="A22" s="1"/>
      <c r="B22" s="1"/>
      <c r="C22" s="188" t="s">
        <v>29</v>
      </c>
      <c r="D22" s="45"/>
      <c r="E22" s="214">
        <f>I37</f>
        <v>36.063333333333333</v>
      </c>
      <c r="F22" s="194">
        <f>E22/4</f>
        <v>9.0158333333333331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1"/>
      <c r="B23" s="1"/>
      <c r="C23" s="31" t="s">
        <v>32</v>
      </c>
      <c r="D23" s="1"/>
      <c r="E23" s="19">
        <f>SUM(E18:E22)</f>
        <v>1364.0633333333333</v>
      </c>
      <c r="F23" s="13">
        <f t="shared" ref="F23" si="13">E23/4</f>
        <v>341.01583333333332</v>
      </c>
      <c r="G23" s="1"/>
      <c r="H23" s="4" t="s">
        <v>30</v>
      </c>
      <c r="I23" s="5"/>
      <c r="J23" s="6" t="s">
        <v>22</v>
      </c>
      <c r="K23" s="7" t="s">
        <v>23</v>
      </c>
      <c r="L23" s="1"/>
      <c r="M23" s="4" t="s">
        <v>31</v>
      </c>
      <c r="N23" s="47"/>
      <c r="O23" s="6" t="s">
        <v>22</v>
      </c>
      <c r="P23" s="7" t="s">
        <v>23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1"/>
      <c r="B24" s="1"/>
      <c r="C24" s="27"/>
      <c r="D24" s="1"/>
      <c r="E24" s="1"/>
      <c r="F24" s="15"/>
      <c r="G24" s="1"/>
      <c r="H24" s="11" t="s">
        <v>33</v>
      </c>
      <c r="I24" s="1"/>
      <c r="J24" s="48">
        <f>K24*4</f>
        <v>32</v>
      </c>
      <c r="K24" s="49">
        <v>8</v>
      </c>
      <c r="L24" s="1"/>
      <c r="M24" s="167" t="s">
        <v>79</v>
      </c>
      <c r="N24" s="1"/>
      <c r="O24" s="19">
        <f>E21</f>
        <v>500</v>
      </c>
      <c r="P24" s="13">
        <f>F21</f>
        <v>125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1"/>
      <c r="B25" s="1"/>
      <c r="C25" s="31" t="s">
        <v>34</v>
      </c>
      <c r="D25" s="1"/>
      <c r="E25" s="12">
        <v>750</v>
      </c>
      <c r="F25" s="13">
        <f>E25/4</f>
        <v>187.5</v>
      </c>
      <c r="G25" s="1"/>
      <c r="H25" s="27"/>
      <c r="I25" s="1"/>
      <c r="J25" s="50"/>
      <c r="K25" s="51"/>
      <c r="L25" s="1"/>
      <c r="M25" s="167" t="s">
        <v>85</v>
      </c>
      <c r="N25" s="1"/>
      <c r="O25" s="19">
        <f>E19+E20</f>
        <v>768</v>
      </c>
      <c r="P25" s="13">
        <f>F19+F20</f>
        <v>192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1"/>
      <c r="B26" s="1"/>
      <c r="C26" s="31"/>
      <c r="D26" s="1"/>
      <c r="E26" s="12"/>
      <c r="F26" s="56"/>
      <c r="G26" s="1"/>
      <c r="H26" s="11" t="s">
        <v>35</v>
      </c>
      <c r="I26" s="52">
        <v>17.5</v>
      </c>
      <c r="J26" s="53">
        <f>I26*J24</f>
        <v>560</v>
      </c>
      <c r="K26" s="54">
        <f>I26*K24</f>
        <v>140</v>
      </c>
      <c r="L26" s="1"/>
      <c r="M26" s="24" t="s">
        <v>36</v>
      </c>
      <c r="N26" s="25"/>
      <c r="O26" s="55">
        <f>E25</f>
        <v>750</v>
      </c>
      <c r="P26" s="46">
        <f>F25</f>
        <v>187.5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thickBot="1" x14ac:dyDescent="0.25">
      <c r="A27" s="1"/>
      <c r="B27" s="1"/>
      <c r="C27" s="60" t="s">
        <v>20</v>
      </c>
      <c r="D27" s="44"/>
      <c r="E27" s="61">
        <f t="shared" ref="E27:F27" si="14">SUM(E23,E25)</f>
        <v>2114.0633333333335</v>
      </c>
      <c r="F27" s="62">
        <f t="shared" si="14"/>
        <v>528.51583333333338</v>
      </c>
      <c r="G27" s="1"/>
      <c r="H27" s="11" t="s">
        <v>37</v>
      </c>
      <c r="I27" s="1"/>
      <c r="J27" s="12">
        <v>341</v>
      </c>
      <c r="K27" s="54">
        <f>J27/4</f>
        <v>85.25</v>
      </c>
      <c r="L27" s="1"/>
      <c r="M27" s="57" t="s">
        <v>38</v>
      </c>
      <c r="N27" s="37"/>
      <c r="O27" s="58">
        <f t="shared" ref="O27:P27" si="15">SUM(O24:O26)</f>
        <v>2018</v>
      </c>
      <c r="P27" s="59">
        <f t="shared" si="15"/>
        <v>504.5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thickBot="1" x14ac:dyDescent="0.25">
      <c r="A28" s="1"/>
      <c r="B28" s="1"/>
      <c r="C28" s="1"/>
      <c r="D28" s="1"/>
      <c r="E28" s="1"/>
      <c r="F28" s="1"/>
      <c r="G28" s="1"/>
      <c r="H28" s="63"/>
      <c r="I28" s="37"/>
      <c r="J28" s="64"/>
      <c r="K28" s="65">
        <f>K27/K24</f>
        <v>10.65625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thickTop="1" x14ac:dyDescent="0.2">
      <c r="A30" s="1"/>
      <c r="B30" s="1"/>
      <c r="C30" s="174" t="s">
        <v>62</v>
      </c>
      <c r="D30" s="5"/>
      <c r="E30" s="175" t="s">
        <v>38</v>
      </c>
      <c r="F30" s="176" t="s">
        <v>60</v>
      </c>
      <c r="G30" s="1"/>
      <c r="H30" s="203" t="s">
        <v>80</v>
      </c>
      <c r="I30" s="204" t="s">
        <v>22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1"/>
      <c r="B31" s="1"/>
      <c r="C31" s="167" t="s">
        <v>74</v>
      </c>
      <c r="D31" s="1"/>
      <c r="E31" s="182">
        <v>24000</v>
      </c>
      <c r="F31" s="184">
        <f>E31/3</f>
        <v>8000</v>
      </c>
      <c r="G31" s="1"/>
      <c r="H31" s="205" t="s">
        <v>82</v>
      </c>
      <c r="I31" s="212">
        <v>5.99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">
      <c r="A32" s="1"/>
      <c r="B32" s="1"/>
      <c r="C32" s="177" t="s">
        <v>75</v>
      </c>
      <c r="D32" s="1"/>
      <c r="E32" s="186">
        <v>6950</v>
      </c>
      <c r="F32" s="184">
        <f t="shared" ref="F32:F33" si="16">E32/3</f>
        <v>2316.6666666666665</v>
      </c>
      <c r="G32" s="1"/>
      <c r="H32" s="206" t="s">
        <v>83</v>
      </c>
      <c r="I32" s="213">
        <v>2.99</v>
      </c>
      <c r="L32" s="1"/>
      <c r="M32" s="1"/>
      <c r="N32" s="20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">
      <c r="A33" s="1"/>
      <c r="B33" s="1"/>
      <c r="C33" s="173" t="s">
        <v>77</v>
      </c>
      <c r="D33" s="1"/>
      <c r="E33" s="186">
        <v>355</v>
      </c>
      <c r="F33" s="184">
        <f t="shared" si="16"/>
        <v>118.33333333333333</v>
      </c>
      <c r="G33" s="1"/>
      <c r="H33" s="205" t="s">
        <v>84</v>
      </c>
      <c r="I33" s="213">
        <f>325/12</f>
        <v>27.083333333333332</v>
      </c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1"/>
      <c r="X33" s="1"/>
      <c r="Y33" s="1"/>
      <c r="Z33" s="1"/>
    </row>
    <row r="34" spans="1:26" ht="12" customHeight="1" x14ac:dyDescent="0.2">
      <c r="A34" s="1"/>
      <c r="B34" s="1"/>
      <c r="C34" s="173"/>
      <c r="D34" s="1"/>
      <c r="E34" s="50"/>
      <c r="F34" s="178"/>
      <c r="G34" s="1"/>
      <c r="H34" s="207"/>
      <c r="I34" s="213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1"/>
      <c r="X34" s="1"/>
      <c r="Y34" s="1"/>
      <c r="Z34" s="1"/>
    </row>
    <row r="35" spans="1:26" ht="12" customHeight="1" x14ac:dyDescent="0.2">
      <c r="A35" s="1"/>
      <c r="B35" s="1"/>
      <c r="C35" s="11"/>
      <c r="D35" s="52"/>
      <c r="E35" s="53"/>
      <c r="F35" s="54"/>
      <c r="G35" s="1"/>
      <c r="H35" s="208"/>
      <c r="I35" s="21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"/>
      <c r="B36" s="1"/>
      <c r="C36" s="276" t="s">
        <v>78</v>
      </c>
      <c r="D36" s="180"/>
      <c r="E36" s="183">
        <f>SUM(E32:E35)</f>
        <v>7305</v>
      </c>
      <c r="F36" s="185">
        <f>E36 / 3</f>
        <v>2435</v>
      </c>
      <c r="G36" s="1"/>
      <c r="H36" s="209"/>
      <c r="I36" s="2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thickBot="1" x14ac:dyDescent="0.25">
      <c r="A37" s="1"/>
      <c r="B37" s="1"/>
      <c r="C37" s="275" t="s">
        <v>76</v>
      </c>
      <c r="D37" s="37"/>
      <c r="E37" s="64">
        <f>(E36*11)+E31</f>
        <v>104355</v>
      </c>
      <c r="F37" s="65">
        <f>E37/3</f>
        <v>34785</v>
      </c>
      <c r="G37" s="1"/>
      <c r="H37" s="211" t="s">
        <v>81</v>
      </c>
      <c r="I37" s="210">
        <f>SUM(I31:I36)</f>
        <v>36.063333333333333</v>
      </c>
      <c r="K37" s="1"/>
      <c r="L37" s="4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"/>
      <c r="B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thickBot="1" x14ac:dyDescent="0.25">
      <c r="A39" s="1"/>
      <c r="B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">
      <c r="A40" s="1"/>
      <c r="B40" s="1"/>
      <c r="C40" s="174" t="s">
        <v>90</v>
      </c>
      <c r="D40" s="176" t="s">
        <v>60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">
      <c r="A41" s="1"/>
      <c r="B41" s="1"/>
      <c r="C41" s="274" t="s">
        <v>91</v>
      </c>
      <c r="D41" s="272">
        <f>U21</f>
        <v>41552.389999999992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thickBot="1" x14ac:dyDescent="0.25">
      <c r="A42" s="1"/>
      <c r="B42" s="1"/>
      <c r="C42" s="275" t="s">
        <v>92</v>
      </c>
      <c r="D42" s="273">
        <f>U21/F13</f>
        <v>0.43737516315102515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"/>
      <c r="B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"/>
      <c r="B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1"/>
      <c r="B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2">
      <c r="C1001" s="1"/>
      <c r="D1001" s="1"/>
      <c r="E1001" s="1"/>
      <c r="F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 x14ac:dyDescent="0.2">
      <c r="C1002" s="1"/>
      <c r="D1002" s="1"/>
      <c r="E1002" s="1"/>
      <c r="F1002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9CE72-F3C8-844F-B4E2-4DFC76FFDA63}">
  <sheetPr>
    <tabColor rgb="FF0A3041"/>
    <pageSetUpPr fitToPage="1"/>
  </sheetPr>
  <dimension ref="A1:Z1002"/>
  <sheetViews>
    <sheetView showGridLines="0" topLeftCell="C1" zoomScale="125" workbookViewId="0">
      <selection activeCell="H29" sqref="H29"/>
    </sheetView>
  </sheetViews>
  <sheetFormatPr baseColWidth="10" defaultColWidth="12.6640625" defaultRowHeight="15" customHeight="1" x14ac:dyDescent="0.2"/>
  <cols>
    <col min="1" max="2" width="1.6640625" customWidth="1"/>
    <col min="3" max="3" width="23" customWidth="1"/>
    <col min="4" max="4" width="11.1640625" customWidth="1"/>
    <col min="5" max="6" width="10.6640625" customWidth="1"/>
    <col min="7" max="7" width="1.6640625" customWidth="1"/>
    <col min="8" max="8" width="16.6640625" customWidth="1"/>
    <col min="9" max="9" width="9.6640625" customWidth="1"/>
    <col min="10" max="10" width="9" bestFit="1" customWidth="1"/>
    <col min="11" max="12" width="9.83203125" bestFit="1" customWidth="1"/>
    <col min="13" max="13" width="10.5" bestFit="1" customWidth="1"/>
    <col min="14" max="25" width="9.83203125" bestFit="1" customWidth="1"/>
    <col min="26" max="26" width="10.6640625" bestFit="1" customWidth="1"/>
  </cols>
  <sheetData>
    <row r="1" spans="1:26" ht="6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1"/>
      <c r="C3" s="189">
        <f ca="1">TODAY()</f>
        <v>46252</v>
      </c>
      <c r="D3" s="190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">
      <c r="A5" s="1"/>
      <c r="B5" s="1"/>
      <c r="C5" s="4" t="s">
        <v>1</v>
      </c>
      <c r="D5" s="5"/>
      <c r="E5" s="6" t="s">
        <v>2</v>
      </c>
      <c r="F5" s="7" t="s">
        <v>3</v>
      </c>
      <c r="G5" s="1"/>
      <c r="H5" s="8"/>
      <c r="I5" s="9">
        <v>46204</v>
      </c>
      <c r="J5" s="9">
        <v>46235</v>
      </c>
      <c r="K5" s="9">
        <v>46295</v>
      </c>
      <c r="L5" s="9">
        <f t="shared" ref="L5:U5" si="0">EDATE(K5,1)</f>
        <v>46325</v>
      </c>
      <c r="M5" s="9">
        <f t="shared" si="0"/>
        <v>46356</v>
      </c>
      <c r="N5" s="9">
        <f t="shared" si="0"/>
        <v>46386</v>
      </c>
      <c r="O5" s="9">
        <f t="shared" si="0"/>
        <v>46417</v>
      </c>
      <c r="P5" s="9">
        <f t="shared" si="0"/>
        <v>46446</v>
      </c>
      <c r="Q5" s="9">
        <f t="shared" si="0"/>
        <v>46474</v>
      </c>
      <c r="R5" s="9">
        <f t="shared" si="0"/>
        <v>46505</v>
      </c>
      <c r="S5" s="9">
        <f t="shared" si="0"/>
        <v>46535</v>
      </c>
      <c r="T5" s="9">
        <f t="shared" si="0"/>
        <v>46566</v>
      </c>
      <c r="U5" s="10">
        <f t="shared" si="0"/>
        <v>46596</v>
      </c>
    </row>
    <row r="6" spans="1:26" ht="12" customHeight="1" x14ac:dyDescent="0.2">
      <c r="A6" s="1"/>
      <c r="B6" s="1"/>
      <c r="C6" s="11" t="str">
        <f>'Budget 26-27'!C6</f>
        <v>Base Salary</v>
      </c>
      <c r="D6" s="69"/>
      <c r="E6" s="70">
        <f>'Budget 26-27'!E6</f>
        <v>122500</v>
      </c>
      <c r="F6" s="71">
        <f>'Budget 26-27'!F6</f>
        <v>88004</v>
      </c>
      <c r="G6" s="1"/>
      <c r="H6" s="171" t="s">
        <v>1</v>
      </c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9"/>
    </row>
    <row r="7" spans="1:26" ht="12" customHeight="1" x14ac:dyDescent="0.2">
      <c r="A7" s="1"/>
      <c r="B7" s="1"/>
      <c r="C7" s="11" t="str">
        <f>'Budget 26-27'!C7</f>
        <v>Tax Rate (State, Federal, City, Medicare, Social Security)</v>
      </c>
      <c r="D7" s="72">
        <f>'Budget 26-27'!D7</f>
        <v>0.28160000000000002</v>
      </c>
      <c r="E7" s="69"/>
      <c r="F7" s="71">
        <f>'Budget 26-27'!F7</f>
        <v>34496</v>
      </c>
      <c r="G7" s="1"/>
      <c r="H7" s="240" t="s">
        <v>6</v>
      </c>
      <c r="I7" s="241">
        <f>'Budget 26-27'!I7</f>
        <v>0</v>
      </c>
      <c r="J7" s="241">
        <f>'Budget 26-27'!J7</f>
        <v>7333.666666666667</v>
      </c>
      <c r="K7" s="241">
        <f>'Budget 26-27'!K7</f>
        <v>7333.666666666667</v>
      </c>
      <c r="L7" s="241">
        <f>'Budget 26-27'!L7</f>
        <v>7333.666666666667</v>
      </c>
      <c r="M7" s="241">
        <f>'Budget 26-27'!M7</f>
        <v>7333.666666666667</v>
      </c>
      <c r="N7" s="241">
        <f>'Budget 26-27'!N7</f>
        <v>7333.666666666667</v>
      </c>
      <c r="O7" s="241">
        <f>'Budget 26-27'!O7</f>
        <v>7333.666666666667</v>
      </c>
      <c r="P7" s="241">
        <f>'Budget 26-27'!P7</f>
        <v>7333.666666666667</v>
      </c>
      <c r="Q7" s="241">
        <f>'Budget 26-27'!Q7</f>
        <v>7333.666666666667</v>
      </c>
      <c r="R7" s="241">
        <f>'Budget 26-27'!R7</f>
        <v>7333.666666666667</v>
      </c>
      <c r="S7" s="241">
        <f>'Budget 26-27'!S7</f>
        <v>7333.666666666667</v>
      </c>
      <c r="T7" s="241">
        <f>'Budget 26-27'!T7</f>
        <v>7333.666666666667</v>
      </c>
      <c r="U7" s="242">
        <f>'Budget 26-27'!U7</f>
        <v>7333.666666666667</v>
      </c>
    </row>
    <row r="8" spans="1:26" ht="12" customHeight="1" x14ac:dyDescent="0.2">
      <c r="A8" s="1"/>
      <c r="B8" s="1"/>
      <c r="C8" s="11" t="str">
        <f>'Budget 26-27'!C8</f>
        <v xml:space="preserve">Per Month </v>
      </c>
      <c r="D8" s="69"/>
      <c r="E8" s="70">
        <f>'Budget 26-27'!E8</f>
        <v>10208.333333333334</v>
      </c>
      <c r="F8" s="71">
        <f>'Budget 26-27'!F8</f>
        <v>7333.666666666667</v>
      </c>
      <c r="G8" s="1"/>
      <c r="H8" s="240" t="s">
        <v>8</v>
      </c>
      <c r="I8" s="241">
        <f>'Budget 26-27'!I8</f>
        <v>0</v>
      </c>
      <c r="J8" s="241">
        <f>'Budget 26-27'!J8</f>
        <v>7000</v>
      </c>
      <c r="K8" s="241">
        <f>'Budget 26-27'!K8</f>
        <v>0</v>
      </c>
      <c r="L8" s="241">
        <f>'Budget 26-27'!L8</f>
        <v>0</v>
      </c>
      <c r="M8" s="241">
        <f>'Budget 26-27'!M8</f>
        <v>0</v>
      </c>
      <c r="N8" s="241">
        <f>'Budget 26-27'!N8</f>
        <v>0</v>
      </c>
      <c r="O8" s="241">
        <f>'Budget 26-27'!O8</f>
        <v>0</v>
      </c>
      <c r="P8" s="241">
        <f>'Budget 26-27'!P8</f>
        <v>0</v>
      </c>
      <c r="Q8" s="241">
        <f>'Budget 26-27'!Q8</f>
        <v>0</v>
      </c>
      <c r="R8" s="241">
        <f>'Budget 26-27'!R8</f>
        <v>0</v>
      </c>
      <c r="S8" s="241">
        <f>'Budget 26-27'!S8</f>
        <v>0</v>
      </c>
      <c r="T8" s="241">
        <f>'Budget 26-27'!T8</f>
        <v>0</v>
      </c>
      <c r="U8" s="242">
        <f>'Budget 26-27'!U8</f>
        <v>0</v>
      </c>
    </row>
    <row r="9" spans="1:26" ht="12" customHeight="1" x14ac:dyDescent="0.2">
      <c r="A9" s="1"/>
      <c r="B9" s="1"/>
      <c r="C9" s="20" t="str">
        <f>'Budget 26-27'!C9</f>
        <v>Max Rent Pmt.</v>
      </c>
      <c r="D9" s="78">
        <f>'Budget 26-27'!D9</f>
        <v>0.3</v>
      </c>
      <c r="E9" s="79">
        <f>'Budget 26-27'!E9</f>
        <v>3062.5</v>
      </c>
      <c r="F9" s="80">
        <f>'Budget 26-27'!F9</f>
        <v>2200.1</v>
      </c>
      <c r="G9" s="1"/>
      <c r="H9" s="240" t="s">
        <v>10</v>
      </c>
      <c r="I9" s="238"/>
      <c r="J9" s="241">
        <f>'Budget 26-27'!J9</f>
        <v>0</v>
      </c>
      <c r="K9" s="241">
        <f>'Budget 26-27'!K9</f>
        <v>0</v>
      </c>
      <c r="L9" s="241">
        <f>'Budget 26-27'!L9</f>
        <v>0</v>
      </c>
      <c r="M9" s="241">
        <f>'Budget 26-27'!M9</f>
        <v>0</v>
      </c>
      <c r="N9" s="241">
        <f>'Budget 26-27'!N9</f>
        <v>0</v>
      </c>
      <c r="O9" s="241">
        <f>'Budget 26-27'!O9</f>
        <v>0</v>
      </c>
      <c r="P9" s="241">
        <f>'Budget 26-27'!P9</f>
        <v>0</v>
      </c>
      <c r="Q9" s="241">
        <f>'Budget 26-27'!Q9</f>
        <v>0</v>
      </c>
      <c r="R9" s="241">
        <f>'Budget 26-27'!R9</f>
        <v>0</v>
      </c>
      <c r="S9" s="241">
        <f>'Budget 26-27'!S9</f>
        <v>0</v>
      </c>
      <c r="T9" s="241">
        <f>'Budget 26-27'!T9</f>
        <v>0</v>
      </c>
      <c r="U9" s="242">
        <f>'Budget 26-27'!U9</f>
        <v>0</v>
      </c>
    </row>
    <row r="10" spans="1:26" ht="12" customHeight="1" x14ac:dyDescent="0.2">
      <c r="A10" s="1"/>
      <c r="B10" s="1"/>
      <c r="C10" s="11" t="str">
        <f>'Budget 26-27'!C10</f>
        <v>Bonus Amount</v>
      </c>
      <c r="D10" s="69"/>
      <c r="E10" s="70">
        <f>'Budget 26-27'!E10</f>
        <v>10000</v>
      </c>
      <c r="F10" s="71">
        <f>'Budget 26-27'!F10</f>
        <v>7000</v>
      </c>
      <c r="G10" s="1"/>
      <c r="H10" s="243" t="s">
        <v>12</v>
      </c>
      <c r="I10" s="244"/>
      <c r="J10" s="245">
        <f>'Budget 26-27'!J10</f>
        <v>0</v>
      </c>
      <c r="K10" s="245">
        <f>'Budget 26-27'!K10</f>
        <v>0</v>
      </c>
      <c r="L10" s="245">
        <f>'Budget 26-27'!L10</f>
        <v>0</v>
      </c>
      <c r="M10" s="245">
        <f>'Budget 26-27'!M10</f>
        <v>0</v>
      </c>
      <c r="N10" s="245">
        <f>'Budget 26-27'!N10</f>
        <v>0</v>
      </c>
      <c r="O10" s="245">
        <f>'Budget 26-27'!O10</f>
        <v>0</v>
      </c>
      <c r="P10" s="245">
        <f>'Budget 26-27'!P10</f>
        <v>0</v>
      </c>
      <c r="Q10" s="245">
        <f>'Budget 26-27'!Q10</f>
        <v>0</v>
      </c>
      <c r="R10" s="245">
        <f>'Budget 26-27'!R10</f>
        <v>0</v>
      </c>
      <c r="S10" s="245">
        <f>'Budget 26-27'!S10</f>
        <v>0</v>
      </c>
      <c r="T10" s="245">
        <f>'Budget 26-27'!T10</f>
        <v>0</v>
      </c>
      <c r="U10" s="262">
        <f>'Budget 26-27'!U10</f>
        <v>0</v>
      </c>
    </row>
    <row r="11" spans="1:26" ht="12" customHeight="1" x14ac:dyDescent="0.2">
      <c r="A11" s="1"/>
      <c r="B11" s="1"/>
      <c r="C11" s="11" t="str">
        <f>'Budget 26-27'!C11</f>
        <v>Tax Rate (State, Federal, City, Medicare, Social Security)</v>
      </c>
      <c r="D11" s="72">
        <f>'Budget 26-27'!D11</f>
        <v>0.3</v>
      </c>
      <c r="E11" s="69"/>
      <c r="F11" s="71">
        <f>'Budget 26-27'!F11</f>
        <v>3000</v>
      </c>
      <c r="G11" s="1"/>
      <c r="H11" s="246" t="s">
        <v>13</v>
      </c>
      <c r="I11" s="247">
        <f>'Budget 26-27'!I11</f>
        <v>0</v>
      </c>
      <c r="J11" s="247">
        <f>'Budget 26-27'!J11</f>
        <v>14333.666666666668</v>
      </c>
      <c r="K11" s="247">
        <f>'Budget 26-27'!K11</f>
        <v>7333.666666666667</v>
      </c>
      <c r="L11" s="247">
        <f>'Budget 26-27'!L11</f>
        <v>7333.666666666667</v>
      </c>
      <c r="M11" s="247">
        <f>'Budget 26-27'!M11</f>
        <v>7333.666666666667</v>
      </c>
      <c r="N11" s="247">
        <f>'Budget 26-27'!N11</f>
        <v>7333.666666666667</v>
      </c>
      <c r="O11" s="247">
        <f>'Budget 26-27'!O11</f>
        <v>7333.666666666667</v>
      </c>
      <c r="P11" s="247">
        <f>'Budget 26-27'!P11</f>
        <v>7333.666666666667</v>
      </c>
      <c r="Q11" s="247">
        <f>'Budget 26-27'!Q11</f>
        <v>7333.666666666667</v>
      </c>
      <c r="R11" s="247">
        <f>'Budget 26-27'!R11</f>
        <v>7333.666666666667</v>
      </c>
      <c r="S11" s="247">
        <f>'Budget 26-27'!S11</f>
        <v>7333.666666666667</v>
      </c>
      <c r="T11" s="247">
        <f>'Budget 26-27'!T11</f>
        <v>7333.666666666667</v>
      </c>
      <c r="U11" s="248">
        <f>'Budget 26-27'!U11</f>
        <v>7333.666666666667</v>
      </c>
    </row>
    <row r="12" spans="1:26" ht="12" customHeight="1" x14ac:dyDescent="0.2">
      <c r="A12" s="1"/>
      <c r="B12" s="1"/>
      <c r="C12" s="11" t="str">
        <f>'Budget 26-27'!C12</f>
        <v>Bonus Payout Date</v>
      </c>
      <c r="D12" s="69"/>
      <c r="E12" s="69"/>
      <c r="F12" s="83">
        <f>'Budget 26-27'!F12</f>
        <v>46235</v>
      </c>
      <c r="G12" s="1"/>
      <c r="H12" s="84" t="s">
        <v>40</v>
      </c>
      <c r="I12" s="86">
        <f>'Budget 26-27'!I11</f>
        <v>0</v>
      </c>
      <c r="J12" s="86">
        <f>'Budget 26-27'!J11</f>
        <v>14333.666666666668</v>
      </c>
      <c r="K12" s="86">
        <f>'Budget 26-27'!K11</f>
        <v>7333.666666666667</v>
      </c>
      <c r="L12" s="86">
        <f>'Budget 26-27'!L11</f>
        <v>7333.666666666667</v>
      </c>
      <c r="M12" s="86">
        <f>'Budget 26-27'!M11</f>
        <v>7333.666666666667</v>
      </c>
      <c r="N12" s="86">
        <f>'Budget 26-27'!N11</f>
        <v>7333.666666666667</v>
      </c>
      <c r="O12" s="86">
        <f>'Budget 26-27'!O11</f>
        <v>7333.666666666667</v>
      </c>
      <c r="P12" s="86">
        <f>'Budget 26-27'!P11</f>
        <v>7333.666666666667</v>
      </c>
      <c r="Q12" s="86">
        <f>'Budget 26-27'!Q11</f>
        <v>7333.666666666667</v>
      </c>
      <c r="R12" s="86">
        <f>'Budget 26-27'!R11</f>
        <v>7333.666666666667</v>
      </c>
      <c r="S12" s="86">
        <f>'Budget 26-27'!S11</f>
        <v>7333.666666666667</v>
      </c>
      <c r="T12" s="86">
        <f>'Budget 26-27'!T11</f>
        <v>7333.666666666667</v>
      </c>
      <c r="U12" s="87">
        <f>'Budget 26-27'!U11</f>
        <v>7333.666666666667</v>
      </c>
    </row>
    <row r="13" spans="1:26" ht="12" customHeight="1" x14ac:dyDescent="0.2">
      <c r="A13" s="1"/>
      <c r="B13" s="1"/>
      <c r="C13" s="31" t="str">
        <f>'Budget 26-27'!C13</f>
        <v>Total Salary</v>
      </c>
      <c r="D13" s="69"/>
      <c r="E13" s="88">
        <f>'Budget 26-27'!E13</f>
        <v>132500</v>
      </c>
      <c r="F13" s="89">
        <f>'Budget 26-27'!F13</f>
        <v>95004</v>
      </c>
      <c r="G13" s="1"/>
      <c r="H13" s="90" t="s">
        <v>41</v>
      </c>
      <c r="I13" s="92" t="e">
        <f t="shared" ref="I13:U13" si="1">I11/I12</f>
        <v>#DIV/0!</v>
      </c>
      <c r="J13" s="92">
        <f t="shared" si="1"/>
        <v>1</v>
      </c>
      <c r="K13" s="92">
        <f t="shared" si="1"/>
        <v>1</v>
      </c>
      <c r="L13" s="92">
        <f t="shared" si="1"/>
        <v>1</v>
      </c>
      <c r="M13" s="92">
        <f t="shared" si="1"/>
        <v>1</v>
      </c>
      <c r="N13" s="92">
        <f t="shared" si="1"/>
        <v>1</v>
      </c>
      <c r="O13" s="92">
        <f t="shared" si="1"/>
        <v>1</v>
      </c>
      <c r="P13" s="92">
        <f t="shared" si="1"/>
        <v>1</v>
      </c>
      <c r="Q13" s="92">
        <f t="shared" si="1"/>
        <v>1</v>
      </c>
      <c r="R13" s="92">
        <f t="shared" si="1"/>
        <v>1</v>
      </c>
      <c r="S13" s="92">
        <f t="shared" si="1"/>
        <v>1</v>
      </c>
      <c r="T13" s="92">
        <f t="shared" si="1"/>
        <v>1</v>
      </c>
      <c r="U13" s="93">
        <f t="shared" si="1"/>
        <v>1</v>
      </c>
    </row>
    <row r="14" spans="1:26" ht="12" customHeight="1" x14ac:dyDescent="0.2">
      <c r="A14" s="1"/>
      <c r="B14" s="1"/>
      <c r="C14" s="31" t="str">
        <f>'Budget 26-27'!C14</f>
        <v>Total Tax</v>
      </c>
      <c r="D14" s="69"/>
      <c r="E14" s="69"/>
      <c r="F14" s="89">
        <f>'Budget 26-27'!F14</f>
        <v>37496</v>
      </c>
      <c r="G14" s="1"/>
      <c r="H14" s="94" t="s">
        <v>42</v>
      </c>
      <c r="I14" s="96">
        <f t="shared" ref="I14:U14" si="2">I12-I11</f>
        <v>0</v>
      </c>
      <c r="J14" s="96">
        <f t="shared" si="2"/>
        <v>0</v>
      </c>
      <c r="K14" s="96">
        <f t="shared" si="2"/>
        <v>0</v>
      </c>
      <c r="L14" s="96">
        <f t="shared" si="2"/>
        <v>0</v>
      </c>
      <c r="M14" s="96">
        <f t="shared" si="2"/>
        <v>0</v>
      </c>
      <c r="N14" s="96">
        <f t="shared" si="2"/>
        <v>0</v>
      </c>
      <c r="O14" s="96">
        <f t="shared" si="2"/>
        <v>0</v>
      </c>
      <c r="P14" s="96">
        <f t="shared" si="2"/>
        <v>0</v>
      </c>
      <c r="Q14" s="96">
        <f t="shared" si="2"/>
        <v>0</v>
      </c>
      <c r="R14" s="96">
        <f t="shared" si="2"/>
        <v>0</v>
      </c>
      <c r="S14" s="96">
        <f t="shared" si="2"/>
        <v>0</v>
      </c>
      <c r="T14" s="96">
        <f t="shared" si="2"/>
        <v>0</v>
      </c>
      <c r="U14" s="97">
        <f t="shared" si="2"/>
        <v>0</v>
      </c>
    </row>
    <row r="15" spans="1:26" ht="12" customHeight="1" thickBot="1" x14ac:dyDescent="0.25">
      <c r="A15" s="1"/>
      <c r="B15" s="1"/>
      <c r="C15" s="36" t="str">
        <f>'Budget 26-27'!C15</f>
        <v>High Yield Savings APR</v>
      </c>
      <c r="D15" s="98"/>
      <c r="E15" s="98"/>
      <c r="F15" s="99">
        <f>'Budget 26-27'!F15</f>
        <v>0</v>
      </c>
      <c r="G15" s="1"/>
      <c r="H15" s="246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9"/>
    </row>
    <row r="16" spans="1:26" ht="12" customHeight="1" thickBot="1" x14ac:dyDescent="0.25">
      <c r="A16" s="1"/>
      <c r="B16" s="1"/>
      <c r="C16" s="1"/>
      <c r="D16" s="1"/>
      <c r="E16" s="1"/>
      <c r="F16" s="1"/>
      <c r="G16" s="1"/>
      <c r="H16" s="171" t="s">
        <v>16</v>
      </c>
      <c r="I16" s="238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63"/>
    </row>
    <row r="17" spans="1:26" ht="12" customHeight="1" x14ac:dyDescent="0.2">
      <c r="A17" s="1"/>
      <c r="B17" s="1"/>
      <c r="C17" s="4" t="s">
        <v>21</v>
      </c>
      <c r="D17" s="5"/>
      <c r="E17" s="6" t="s">
        <v>22</v>
      </c>
      <c r="F17" s="7" t="s">
        <v>23</v>
      </c>
      <c r="G17" s="1"/>
      <c r="H17" s="240" t="s">
        <v>62</v>
      </c>
      <c r="I17" s="303">
        <f>'Budget 26-27'!I14</f>
        <v>8000</v>
      </c>
      <c r="J17" s="303">
        <f>'Budget 26-27'!J14</f>
        <v>1297.8499999999999</v>
      </c>
      <c r="K17" s="303">
        <f>'Budget 26-27'!K14</f>
        <v>2435</v>
      </c>
      <c r="L17" s="303">
        <f>'Budget 26-27'!L14</f>
        <v>2435</v>
      </c>
      <c r="M17" s="303">
        <f>'Budget 26-27'!M14</f>
        <v>2435</v>
      </c>
      <c r="N17" s="303">
        <f>'Budget 26-27'!N14</f>
        <v>2435</v>
      </c>
      <c r="O17" s="303">
        <f>'Budget 26-27'!O14</f>
        <v>2435</v>
      </c>
      <c r="P17" s="303">
        <f>'Budget 26-27'!P14</f>
        <v>2435</v>
      </c>
      <c r="Q17" s="303">
        <f>'Budget 26-27'!Q14</f>
        <v>2435</v>
      </c>
      <c r="R17" s="303">
        <f>'Budget 26-27'!R14</f>
        <v>2435</v>
      </c>
      <c r="S17" s="303">
        <f>'Budget 26-27'!S14</f>
        <v>2435</v>
      </c>
      <c r="T17" s="303">
        <f>'Budget 26-27'!T14</f>
        <v>2435</v>
      </c>
      <c r="U17" s="304">
        <f>'Budget 26-27'!U14</f>
        <v>2435</v>
      </c>
    </row>
    <row r="18" spans="1:26" ht="12" customHeight="1" x14ac:dyDescent="0.2">
      <c r="A18" s="1"/>
      <c r="B18" s="1"/>
      <c r="C18" s="11" t="str">
        <f>'Budget 26-27'!C18</f>
        <v>LIRR/Subway</v>
      </c>
      <c r="D18" s="102"/>
      <c r="E18" s="70">
        <f>'Budget 26-27'!E18</f>
        <v>60</v>
      </c>
      <c r="F18" s="71">
        <f>'Budget 26-27'!F18</f>
        <v>15</v>
      </c>
      <c r="G18" s="1"/>
      <c r="H18" s="250" t="s">
        <v>86</v>
      </c>
      <c r="I18" s="305">
        <v>2494.31</v>
      </c>
      <c r="J18" s="306"/>
      <c r="K18" s="306"/>
      <c r="L18" s="306"/>
      <c r="M18" s="306"/>
      <c r="N18" s="306"/>
      <c r="O18" s="306"/>
      <c r="P18" s="306"/>
      <c r="Q18" s="306"/>
      <c r="R18" s="306"/>
      <c r="S18" s="306"/>
      <c r="T18" s="306"/>
      <c r="U18" s="307"/>
    </row>
    <row r="19" spans="1:26" ht="12" customHeight="1" x14ac:dyDescent="0.2">
      <c r="A19" s="1"/>
      <c r="B19" s="1"/>
      <c r="C19" s="11" t="str">
        <f>'Budget 26-27'!C19</f>
        <v>Lunch in Office</v>
      </c>
      <c r="D19" s="103">
        <f>'Budget 26-27'!D19</f>
        <v>3</v>
      </c>
      <c r="E19" s="70">
        <f>'Budget 26-27'!E19</f>
        <v>168</v>
      </c>
      <c r="F19" s="71">
        <f>'Budget 26-27'!F19</f>
        <v>42</v>
      </c>
      <c r="G19" s="1"/>
      <c r="H19" s="250" t="s">
        <v>87</v>
      </c>
      <c r="I19" s="305">
        <v>40</v>
      </c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7"/>
    </row>
    <row r="20" spans="1:26" ht="12" customHeight="1" x14ac:dyDescent="0.2">
      <c r="A20" s="1"/>
      <c r="B20" s="1"/>
      <c r="C20" s="11" t="str">
        <f>'Budget 26-27'!C20</f>
        <v xml:space="preserve">Sunday Grocery </v>
      </c>
      <c r="D20" s="102"/>
      <c r="E20" s="70">
        <f>'Budget 26-27'!E20</f>
        <v>600</v>
      </c>
      <c r="F20" s="71">
        <f>'Budget 26-27'!F20</f>
        <v>150</v>
      </c>
      <c r="G20" s="1"/>
      <c r="H20" s="250" t="s">
        <v>88</v>
      </c>
      <c r="I20" s="305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7"/>
    </row>
    <row r="21" spans="1:26" ht="12" customHeight="1" x14ac:dyDescent="0.2">
      <c r="A21" s="1"/>
      <c r="B21" s="1"/>
      <c r="C21" s="11" t="str">
        <f>'Budget 26-27'!C21</f>
        <v>Jordan Travel</v>
      </c>
      <c r="D21" s="102"/>
      <c r="E21" s="70">
        <f>'Budget 26-27'!E21</f>
        <v>500</v>
      </c>
      <c r="F21" s="71">
        <f>'Budget 26-27'!F21</f>
        <v>125</v>
      </c>
      <c r="G21" s="1"/>
      <c r="H21" s="240" t="s">
        <v>46</v>
      </c>
      <c r="I21" s="305">
        <v>-899.16</v>
      </c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7"/>
    </row>
    <row r="22" spans="1:26" ht="12" customHeight="1" x14ac:dyDescent="0.2">
      <c r="A22" s="1"/>
      <c r="B22" s="1"/>
      <c r="C22" s="24" t="str">
        <f>'Budget 26-27'!C22</f>
        <v xml:space="preserve">Subscriptions </v>
      </c>
      <c r="D22" s="104"/>
      <c r="E22" s="105">
        <f>'Budget 26-27'!E22</f>
        <v>36.063333333333333</v>
      </c>
      <c r="F22" s="106">
        <f>'Budget 26-27'!F22</f>
        <v>9.0158333333333331</v>
      </c>
      <c r="G22" s="1"/>
      <c r="H22" s="243" t="s">
        <v>47</v>
      </c>
      <c r="I22" s="308">
        <v>90</v>
      </c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7"/>
      <c r="Z22" s="1"/>
    </row>
    <row r="23" spans="1:26" ht="12" customHeight="1" x14ac:dyDescent="0.2">
      <c r="A23" s="1"/>
      <c r="B23" s="1"/>
      <c r="C23" s="31" t="str">
        <f>'Budget 26-27'!C23</f>
        <v>Total Fixed</v>
      </c>
      <c r="D23" s="69"/>
      <c r="E23" s="70">
        <f>'Budget 26-27'!E23</f>
        <v>1364.0633333333333</v>
      </c>
      <c r="F23" s="71">
        <f>'Budget 26-27'!F23</f>
        <v>341.01583333333332</v>
      </c>
      <c r="G23" s="1"/>
      <c r="H23" s="246" t="s">
        <v>20</v>
      </c>
      <c r="I23" s="237">
        <f>SUM(I17:I22)</f>
        <v>9725.15</v>
      </c>
      <c r="J23" s="237">
        <f t="shared" ref="J23:U23" si="3">SUM(J18:J22)</f>
        <v>0</v>
      </c>
      <c r="K23" s="237">
        <f t="shared" si="3"/>
        <v>0</v>
      </c>
      <c r="L23" s="237">
        <f t="shared" si="3"/>
        <v>0</v>
      </c>
      <c r="M23" s="237">
        <f t="shared" si="3"/>
        <v>0</v>
      </c>
      <c r="N23" s="237">
        <f t="shared" si="3"/>
        <v>0</v>
      </c>
      <c r="O23" s="237">
        <f t="shared" si="3"/>
        <v>0</v>
      </c>
      <c r="P23" s="237">
        <f t="shared" si="3"/>
        <v>0</v>
      </c>
      <c r="Q23" s="237">
        <f t="shared" si="3"/>
        <v>0</v>
      </c>
      <c r="R23" s="237">
        <f t="shared" si="3"/>
        <v>0</v>
      </c>
      <c r="S23" s="237">
        <f t="shared" si="3"/>
        <v>0</v>
      </c>
      <c r="T23" s="237">
        <f t="shared" si="3"/>
        <v>0</v>
      </c>
      <c r="U23" s="251">
        <f t="shared" si="3"/>
        <v>0</v>
      </c>
      <c r="Z23" s="1"/>
    </row>
    <row r="24" spans="1:26" ht="12" customHeight="1" x14ac:dyDescent="0.2">
      <c r="A24" s="1"/>
      <c r="B24" s="1"/>
      <c r="C24" s="27"/>
      <c r="D24" s="69"/>
      <c r="E24" s="69"/>
      <c r="F24" s="107"/>
      <c r="G24" s="1"/>
      <c r="H24" s="84" t="s">
        <v>40</v>
      </c>
      <c r="I24" s="86">
        <v>1</v>
      </c>
      <c r="J24" s="86">
        <f>'Budget 26-27'!J17</f>
        <v>3411.913333333333</v>
      </c>
      <c r="K24" s="86">
        <f>'Budget 26-27'!K17</f>
        <v>4549.0633333333335</v>
      </c>
      <c r="L24" s="86">
        <f>'Budget 26-27'!L17</f>
        <v>4549.0633333333335</v>
      </c>
      <c r="M24" s="86">
        <f>'Budget 26-27'!M17</f>
        <v>4549.0633333333335</v>
      </c>
      <c r="N24" s="86">
        <f>'Budget 26-27'!N17</f>
        <v>4549.0633333333335</v>
      </c>
      <c r="O24" s="86">
        <f>'Budget 26-27'!O17</f>
        <v>4549.0633333333335</v>
      </c>
      <c r="P24" s="86">
        <f>'Budget 26-27'!P17</f>
        <v>4549.0633333333335</v>
      </c>
      <c r="Q24" s="86">
        <f>'Budget 26-27'!Q17</f>
        <v>4549.0633333333335</v>
      </c>
      <c r="R24" s="86">
        <f>'Budget 26-27'!R17</f>
        <v>4549.0633333333335</v>
      </c>
      <c r="S24" s="86">
        <f>'Budget 26-27'!S17</f>
        <v>4549.0633333333335</v>
      </c>
      <c r="T24" s="86">
        <f>'Budget 26-27'!T17</f>
        <v>4549.0633333333335</v>
      </c>
      <c r="U24" s="87">
        <f>'Budget 26-27'!U17</f>
        <v>4549.0633333333335</v>
      </c>
      <c r="Z24" s="1"/>
    </row>
    <row r="25" spans="1:26" ht="12" customHeight="1" x14ac:dyDescent="0.2">
      <c r="A25" s="1"/>
      <c r="B25" s="1"/>
      <c r="C25" s="31" t="str">
        <f>'Budget 26-27'!C25</f>
        <v>Discretionary Expenses</v>
      </c>
      <c r="D25" s="69"/>
      <c r="E25" s="70">
        <f>'Budget 26-27'!E25</f>
        <v>750</v>
      </c>
      <c r="F25" s="71">
        <f>'Budget 26-27'!F25</f>
        <v>187.5</v>
      </c>
      <c r="G25" s="1"/>
      <c r="H25" s="90" t="s">
        <v>41</v>
      </c>
      <c r="I25" s="92">
        <f>I23/I24</f>
        <v>9725.15</v>
      </c>
      <c r="J25" s="92">
        <f t="shared" ref="J25:U25" si="4">J23/J24</f>
        <v>0</v>
      </c>
      <c r="K25" s="92">
        <f t="shared" si="4"/>
        <v>0</v>
      </c>
      <c r="L25" s="92">
        <f t="shared" si="4"/>
        <v>0</v>
      </c>
      <c r="M25" s="92">
        <f t="shared" si="4"/>
        <v>0</v>
      </c>
      <c r="N25" s="92">
        <f t="shared" si="4"/>
        <v>0</v>
      </c>
      <c r="O25" s="92">
        <f t="shared" si="4"/>
        <v>0</v>
      </c>
      <c r="P25" s="92">
        <f t="shared" si="4"/>
        <v>0</v>
      </c>
      <c r="Q25" s="92">
        <f t="shared" si="4"/>
        <v>0</v>
      </c>
      <c r="R25" s="92">
        <f t="shared" si="4"/>
        <v>0</v>
      </c>
      <c r="S25" s="92">
        <f t="shared" si="4"/>
        <v>0</v>
      </c>
      <c r="T25" s="92">
        <f t="shared" si="4"/>
        <v>0</v>
      </c>
      <c r="U25" s="93">
        <f t="shared" si="4"/>
        <v>0</v>
      </c>
      <c r="Z25" s="1"/>
    </row>
    <row r="26" spans="1:26" ht="12" customHeight="1" x14ac:dyDescent="0.2">
      <c r="A26" s="1"/>
      <c r="B26" s="1"/>
      <c r="C26" s="31"/>
      <c r="D26" s="69"/>
      <c r="E26" s="110"/>
      <c r="F26" s="111"/>
      <c r="G26" s="1"/>
      <c r="H26" s="94" t="s">
        <v>48</v>
      </c>
      <c r="I26" s="108">
        <f t="shared" ref="I26:U26" si="5">IF(I23&gt;0,I24-I23,"n.a.")</f>
        <v>-9724.15</v>
      </c>
      <c r="J26" s="108" t="str">
        <f t="shared" si="5"/>
        <v>n.a.</v>
      </c>
      <c r="K26" s="108" t="str">
        <f t="shared" si="5"/>
        <v>n.a.</v>
      </c>
      <c r="L26" s="108" t="str">
        <f t="shared" si="5"/>
        <v>n.a.</v>
      </c>
      <c r="M26" s="108" t="str">
        <f t="shared" si="5"/>
        <v>n.a.</v>
      </c>
      <c r="N26" s="108" t="str">
        <f t="shared" si="5"/>
        <v>n.a.</v>
      </c>
      <c r="O26" s="108" t="str">
        <f t="shared" si="5"/>
        <v>n.a.</v>
      </c>
      <c r="P26" s="108" t="str">
        <f t="shared" si="5"/>
        <v>n.a.</v>
      </c>
      <c r="Q26" s="108" t="str">
        <f t="shared" si="5"/>
        <v>n.a.</v>
      </c>
      <c r="R26" s="108" t="str">
        <f t="shared" si="5"/>
        <v>n.a.</v>
      </c>
      <c r="S26" s="108" t="str">
        <f t="shared" si="5"/>
        <v>n.a.</v>
      </c>
      <c r="T26" s="108" t="str">
        <f t="shared" si="5"/>
        <v>n.a.</v>
      </c>
      <c r="U26" s="109" t="str">
        <f t="shared" si="5"/>
        <v>n.a.</v>
      </c>
      <c r="Z26" s="1"/>
    </row>
    <row r="27" spans="1:26" ht="12" customHeight="1" thickBot="1" x14ac:dyDescent="0.25">
      <c r="A27" s="1"/>
      <c r="B27" s="1"/>
      <c r="C27" s="60" t="str">
        <f>'Budget 26-27'!C27</f>
        <v>Total Expenses</v>
      </c>
      <c r="D27" s="112"/>
      <c r="E27" s="113">
        <f>'Budget 26-27'!E27</f>
        <v>2114.0633333333335</v>
      </c>
      <c r="F27" s="114">
        <f>'Budget 26-27'!F27</f>
        <v>528.51583333333338</v>
      </c>
      <c r="G27" s="1"/>
      <c r="H27" s="246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9"/>
      <c r="Z27" s="1"/>
    </row>
    <row r="28" spans="1:26" ht="12" customHeight="1" x14ac:dyDescent="0.2">
      <c r="A28" s="1"/>
      <c r="B28" s="1"/>
      <c r="C28" s="1"/>
      <c r="D28" s="1"/>
      <c r="E28" s="1"/>
      <c r="F28" s="1"/>
      <c r="G28" s="1"/>
      <c r="H28" s="171" t="s">
        <v>25</v>
      </c>
      <c r="I28" s="253">
        <f t="shared" ref="I28:U28" si="6">SUM(I11,-I23)</f>
        <v>-9725.15</v>
      </c>
      <c r="J28" s="253">
        <f t="shared" si="6"/>
        <v>14333.666666666668</v>
      </c>
      <c r="K28" s="253">
        <f t="shared" si="6"/>
        <v>7333.666666666667</v>
      </c>
      <c r="L28" s="253">
        <f t="shared" si="6"/>
        <v>7333.666666666667</v>
      </c>
      <c r="M28" s="253">
        <f t="shared" si="6"/>
        <v>7333.666666666667</v>
      </c>
      <c r="N28" s="253">
        <f t="shared" si="6"/>
        <v>7333.666666666667</v>
      </c>
      <c r="O28" s="253">
        <f t="shared" si="6"/>
        <v>7333.666666666667</v>
      </c>
      <c r="P28" s="253">
        <f t="shared" si="6"/>
        <v>7333.666666666667</v>
      </c>
      <c r="Q28" s="253">
        <f t="shared" si="6"/>
        <v>7333.666666666667</v>
      </c>
      <c r="R28" s="253">
        <f t="shared" si="6"/>
        <v>7333.666666666667</v>
      </c>
      <c r="S28" s="253">
        <f t="shared" si="6"/>
        <v>7333.666666666667</v>
      </c>
      <c r="T28" s="253">
        <f t="shared" si="6"/>
        <v>7333.666666666667</v>
      </c>
      <c r="U28" s="254">
        <f t="shared" si="6"/>
        <v>7333.666666666667</v>
      </c>
      <c r="Z28" s="1"/>
    </row>
    <row r="29" spans="1:26" ht="12" customHeight="1" thickBot="1" x14ac:dyDescent="0.25">
      <c r="A29" s="1"/>
      <c r="B29" s="1"/>
      <c r="C29" s="1"/>
      <c r="D29" s="1"/>
      <c r="E29" s="1"/>
      <c r="F29" s="1"/>
      <c r="G29" s="1"/>
      <c r="H29" s="255" t="s">
        <v>49</v>
      </c>
      <c r="I29" s="256" t="e">
        <f t="shared" ref="I29:U29" si="7">I28/I11</f>
        <v>#DIV/0!</v>
      </c>
      <c r="J29" s="256">
        <f t="shared" si="7"/>
        <v>1</v>
      </c>
      <c r="K29" s="256">
        <f t="shared" si="7"/>
        <v>1</v>
      </c>
      <c r="L29" s="256">
        <f t="shared" si="7"/>
        <v>1</v>
      </c>
      <c r="M29" s="256">
        <f t="shared" si="7"/>
        <v>1</v>
      </c>
      <c r="N29" s="256">
        <f t="shared" si="7"/>
        <v>1</v>
      </c>
      <c r="O29" s="256">
        <f t="shared" si="7"/>
        <v>1</v>
      </c>
      <c r="P29" s="256">
        <f t="shared" si="7"/>
        <v>1</v>
      </c>
      <c r="Q29" s="256">
        <f t="shared" si="7"/>
        <v>1</v>
      </c>
      <c r="R29" s="256">
        <f t="shared" si="7"/>
        <v>1</v>
      </c>
      <c r="S29" s="256">
        <f t="shared" si="7"/>
        <v>1</v>
      </c>
      <c r="T29" s="256">
        <f t="shared" si="7"/>
        <v>1</v>
      </c>
      <c r="U29" s="257">
        <f t="shared" si="7"/>
        <v>1</v>
      </c>
      <c r="Z29" s="1"/>
    </row>
    <row r="30" spans="1:26" ht="12" customHeight="1" x14ac:dyDescent="0.2">
      <c r="A30" s="1"/>
      <c r="B30" s="1"/>
      <c r="C30" s="174" t="str">
        <f>'Budget 26-27'!C30</f>
        <v>Rent</v>
      </c>
      <c r="D30" s="5"/>
      <c r="E30" s="175" t="str">
        <f>'Budget 26-27'!E30</f>
        <v>Total</v>
      </c>
      <c r="F30" s="176" t="str">
        <f>'Budget 26-27'!F30</f>
        <v>Per Person</v>
      </c>
      <c r="G30" s="1"/>
      <c r="H30" s="246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9"/>
      <c r="Z30" s="1"/>
    </row>
    <row r="31" spans="1:26" ht="12" customHeight="1" x14ac:dyDescent="0.2">
      <c r="A31" s="1"/>
      <c r="B31" s="1"/>
      <c r="C31" s="167" t="str">
        <f>'Budget 26-27'!C31</f>
        <v>First Month Cost:</v>
      </c>
      <c r="D31" s="1"/>
      <c r="E31" s="215">
        <f>'Budget 26-27'!E31</f>
        <v>24000</v>
      </c>
      <c r="F31" s="216">
        <f>'Budget 26-27'!F31</f>
        <v>8000</v>
      </c>
      <c r="G31" s="1"/>
      <c r="H31" s="121" t="s">
        <v>50</v>
      </c>
      <c r="I31" s="123" t="e">
        <f>H32+I28</f>
        <v>#VALUE!</v>
      </c>
      <c r="J31" s="123">
        <f>I32+J28</f>
        <v>14333.666666666668</v>
      </c>
      <c r="K31" s="123">
        <f>J31+K28</f>
        <v>21667.333333333336</v>
      </c>
      <c r="L31" s="123">
        <f>K31+L28</f>
        <v>29001.000000000004</v>
      </c>
      <c r="M31" s="123">
        <f t="shared" ref="M31:U31" si="8">L31+M28</f>
        <v>36334.666666666672</v>
      </c>
      <c r="N31" s="123">
        <f t="shared" si="8"/>
        <v>43668.333333333336</v>
      </c>
      <c r="O31" s="123">
        <f t="shared" si="8"/>
        <v>51002</v>
      </c>
      <c r="P31" s="123">
        <f t="shared" si="8"/>
        <v>58335.666666666664</v>
      </c>
      <c r="Q31" s="123">
        <f t="shared" si="8"/>
        <v>65669.333333333328</v>
      </c>
      <c r="R31" s="123">
        <f t="shared" si="8"/>
        <v>73003</v>
      </c>
      <c r="S31" s="123">
        <f t="shared" si="8"/>
        <v>80336.666666666672</v>
      </c>
      <c r="T31" s="123">
        <f t="shared" si="8"/>
        <v>87670.333333333343</v>
      </c>
      <c r="U31" s="124">
        <f t="shared" si="8"/>
        <v>95004.000000000015</v>
      </c>
      <c r="Z31" s="1"/>
    </row>
    <row r="32" spans="1:26" ht="12" customHeight="1" x14ac:dyDescent="0.2">
      <c r="A32" s="1"/>
      <c r="B32" s="1"/>
      <c r="C32" s="177" t="str">
        <f>'Budget 26-27'!C32</f>
        <v>Base Rent:</v>
      </c>
      <c r="D32" s="1"/>
      <c r="E32" s="217">
        <f>'Budget 26-27'!E32</f>
        <v>6950</v>
      </c>
      <c r="F32" s="216">
        <f>'Budget 26-27'!F32</f>
        <v>2316.6666666666665</v>
      </c>
      <c r="G32" s="1"/>
      <c r="H32" s="258" t="s">
        <v>51</v>
      </c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259"/>
      <c r="Z32" s="1"/>
    </row>
    <row r="33" spans="1:26" ht="12" customHeight="1" thickBot="1" x14ac:dyDescent="0.25">
      <c r="A33" s="1"/>
      <c r="B33" s="1"/>
      <c r="C33" s="173" t="str">
        <f>'Budget 26-27'!C33</f>
        <v>~Utilities:</v>
      </c>
      <c r="D33" s="1"/>
      <c r="E33" s="217">
        <f>'Budget 26-27'!E33</f>
        <v>355</v>
      </c>
      <c r="F33" s="216">
        <f>'Budget 26-27'!F33</f>
        <v>118.33333333333333</v>
      </c>
      <c r="G33" s="1"/>
      <c r="H33" s="130" t="s">
        <v>53</v>
      </c>
      <c r="I33" s="131">
        <f>IFERROR(I32/'Budget 26-27'!J21,"n.a")</f>
        <v>0</v>
      </c>
      <c r="J33" s="131">
        <f>IFERROR(J32/'Budget 26-27'!K21,"n.a")</f>
        <v>0</v>
      </c>
      <c r="K33" s="132">
        <f>IFERROR(K32/'Budget 26-27'!L21,"n.a")</f>
        <v>0</v>
      </c>
      <c r="L33" s="132">
        <f>IFERROR(L32/'Budget 26-27'!M21,"n.a")</f>
        <v>0</v>
      </c>
      <c r="M33" s="132">
        <f>IFERROR(M32/'Budget 26-27'!N21,"n.a")</f>
        <v>0</v>
      </c>
      <c r="N33" s="132">
        <f>IFERROR(N32/'Budget 26-27'!O21,"n.a")</f>
        <v>0</v>
      </c>
      <c r="O33" s="132">
        <f>IFERROR(O32/'Budget 26-27'!P21,"n.a")</f>
        <v>0</v>
      </c>
      <c r="P33" s="132">
        <f>IFERROR(P32/'Budget 26-27'!Q21,"n.a")</f>
        <v>0</v>
      </c>
      <c r="Q33" s="132">
        <f>IFERROR(Q32/'Budget 26-27'!R21,"n.a")</f>
        <v>0</v>
      </c>
      <c r="R33" s="132">
        <f>IFERROR(R32/'Budget 26-27'!S21,"n.a")</f>
        <v>0</v>
      </c>
      <c r="S33" s="132">
        <f>IFERROR(S32/'Budget 26-27'!T21,"n.a")</f>
        <v>0</v>
      </c>
      <c r="T33" s="132">
        <f>IFERROR(T32/'Budget 26-27'!U21,"n.a")</f>
        <v>0</v>
      </c>
      <c r="U33" s="133" t="str">
        <f>IFERROR(U32/'Budget 26-27'!V21,"n.a")</f>
        <v>n.a</v>
      </c>
      <c r="Z33" s="1"/>
    </row>
    <row r="34" spans="1:26" ht="12" customHeight="1" x14ac:dyDescent="0.2">
      <c r="A34" s="1"/>
      <c r="B34" s="1"/>
      <c r="C34" s="173"/>
      <c r="D34" s="1"/>
      <c r="E34" s="218"/>
      <c r="F34" s="219"/>
      <c r="G34" s="1"/>
      <c r="L34" s="48"/>
      <c r="M34" s="48"/>
      <c r="N34" s="48"/>
      <c r="O34" s="48"/>
      <c r="P34" s="48"/>
      <c r="Q34" s="48"/>
      <c r="R34" s="48"/>
      <c r="S34" s="48"/>
      <c r="T34" s="48"/>
      <c r="U34" s="48"/>
      <c r="Z34" s="1"/>
    </row>
    <row r="35" spans="1:26" ht="12" customHeight="1" x14ac:dyDescent="0.2">
      <c r="A35" s="1"/>
      <c r="B35" s="1"/>
      <c r="C35" s="11"/>
      <c r="D35" s="52"/>
      <c r="E35" s="218"/>
      <c r="F35" s="220"/>
      <c r="G35" s="1"/>
      <c r="L35" s="66"/>
      <c r="M35" s="66"/>
      <c r="N35" s="66"/>
      <c r="O35" s="66"/>
      <c r="P35" s="66"/>
      <c r="Q35" s="66"/>
      <c r="R35" s="66"/>
      <c r="S35" s="66"/>
      <c r="T35" s="66"/>
      <c r="U35" s="66"/>
      <c r="Z35" s="1"/>
    </row>
    <row r="36" spans="1:26" ht="12" customHeight="1" x14ac:dyDescent="0.2">
      <c r="A36" s="1"/>
      <c r="B36" s="1"/>
      <c r="C36" s="179" t="str">
        <f>'Budget 26-27'!C36</f>
        <v>Total Rent Monthly - First Month:</v>
      </c>
      <c r="D36" s="180"/>
      <c r="E36" s="221">
        <f>'Budget 26-27'!E36</f>
        <v>7305</v>
      </c>
      <c r="F36" s="222">
        <f>'Budget 26-27'!F36</f>
        <v>2435</v>
      </c>
      <c r="G36" s="1"/>
      <c r="L36" s="1"/>
      <c r="M36" s="1"/>
      <c r="N36" s="1"/>
      <c r="O36" s="1"/>
      <c r="P36" s="1"/>
      <c r="Q36" s="1"/>
      <c r="R36" s="1"/>
      <c r="S36" s="1"/>
      <c r="T36" s="1"/>
      <c r="U36" s="1"/>
      <c r="Z36" s="1"/>
    </row>
    <row r="37" spans="1:26" ht="12" customHeight="1" thickBot="1" x14ac:dyDescent="0.25">
      <c r="A37" s="1"/>
      <c r="B37" s="1"/>
      <c r="C37" s="181" t="str">
        <f>'Budget 26-27'!C37</f>
        <v>Total Rent Yearly:</v>
      </c>
      <c r="D37" s="37"/>
      <c r="E37" s="223">
        <f>'Budget 26-27'!E37</f>
        <v>104355</v>
      </c>
      <c r="F37" s="224">
        <f>'Budget 26-27'!F37</f>
        <v>34785</v>
      </c>
      <c r="G37" s="1"/>
      <c r="H37" s="140"/>
      <c r="I37" s="141">
        <v>1</v>
      </c>
      <c r="J37" s="142"/>
      <c r="K37" s="1"/>
      <c r="L37" s="253"/>
      <c r="M37" s="253"/>
      <c r="N37" s="253"/>
      <c r="O37" s="235"/>
      <c r="P37" s="235"/>
      <c r="Q37" s="235"/>
      <c r="R37" s="235"/>
      <c r="S37" s="235"/>
      <c r="T37" s="235"/>
      <c r="U37" s="235"/>
      <c r="Z37" s="1"/>
    </row>
    <row r="38" spans="1:26" ht="12" customHeight="1" thickBot="1" x14ac:dyDescent="0.25">
      <c r="A38" s="1"/>
      <c r="B38" s="1"/>
      <c r="G38" s="1"/>
      <c r="H38" s="144" t="s">
        <v>55</v>
      </c>
      <c r="I38" s="141">
        <v>2</v>
      </c>
      <c r="J38" s="142"/>
      <c r="K38" s="1"/>
      <c r="L38" s="253"/>
      <c r="M38" s="253"/>
      <c r="N38" s="253"/>
      <c r="O38" s="235"/>
      <c r="P38" s="235"/>
      <c r="Q38" s="235"/>
      <c r="R38" s="235"/>
      <c r="S38" s="235"/>
      <c r="T38" s="235"/>
      <c r="U38" s="235"/>
      <c r="Z38" s="1"/>
    </row>
    <row r="39" spans="1:26" ht="12" customHeight="1" thickTop="1" x14ac:dyDescent="0.2">
      <c r="A39" s="1"/>
      <c r="B39" s="1"/>
      <c r="C39" s="203" t="str">
        <f>'Budget 26-27'!H30</f>
        <v>Subscriptions</v>
      </c>
      <c r="D39" s="204" t="str">
        <f>'Budget 26-27'!I30</f>
        <v>Per Month</v>
      </c>
      <c r="H39" s="145"/>
      <c r="I39" s="141">
        <v>3</v>
      </c>
      <c r="J39" s="142"/>
      <c r="K39" s="1"/>
      <c r="L39" s="253"/>
      <c r="M39" s="253"/>
      <c r="N39" s="253"/>
      <c r="O39" s="235"/>
      <c r="P39" s="235"/>
      <c r="Q39" s="235"/>
      <c r="R39" s="235"/>
      <c r="S39" s="235"/>
      <c r="T39" s="235"/>
      <c r="U39" s="235"/>
      <c r="Z39" s="1"/>
    </row>
    <row r="40" spans="1:26" ht="12" customHeight="1" x14ac:dyDescent="0.2">
      <c r="A40" s="1"/>
      <c r="B40" s="1"/>
      <c r="C40" s="205" t="str">
        <f>'Budget 26-27'!H31</f>
        <v>Apple Music</v>
      </c>
      <c r="D40" s="225">
        <f>'Budget 26-27'!I31</f>
        <v>5.99</v>
      </c>
      <c r="H40" s="145"/>
      <c r="I40" s="141">
        <v>4</v>
      </c>
      <c r="J40" s="146"/>
      <c r="K40" s="25"/>
      <c r="L40" s="260"/>
      <c r="M40" s="260"/>
      <c r="N40" s="260"/>
      <c r="O40" s="236"/>
      <c r="P40" s="236"/>
      <c r="Q40" s="236"/>
      <c r="R40" s="236"/>
      <c r="S40" s="236"/>
      <c r="T40" s="236"/>
      <c r="U40" s="236"/>
      <c r="Z40" s="1"/>
    </row>
    <row r="41" spans="1:26" ht="12" customHeight="1" x14ac:dyDescent="0.2">
      <c r="A41" s="1"/>
      <c r="B41" s="1"/>
      <c r="C41" s="206" t="str">
        <f>'Budget 26-27'!H32</f>
        <v>ICloud+</v>
      </c>
      <c r="D41" s="225">
        <f>'Budget 26-27'!I32</f>
        <v>2.99</v>
      </c>
      <c r="E41" s="1"/>
      <c r="H41" s="1"/>
      <c r="I41" s="1"/>
      <c r="J41" s="261">
        <f>SUM(J37:J40)</f>
        <v>0</v>
      </c>
      <c r="K41" s="261">
        <f>SUM(K37:K40)</f>
        <v>0</v>
      </c>
      <c r="L41" s="261">
        <f>SUM(L37:L40)</f>
        <v>0</v>
      </c>
      <c r="M41" s="261">
        <f t="shared" ref="M41:U41" si="9">SUM(M37:M40)</f>
        <v>0</v>
      </c>
      <c r="N41" s="261">
        <f t="shared" si="9"/>
        <v>0</v>
      </c>
      <c r="O41" s="261">
        <f t="shared" si="9"/>
        <v>0</v>
      </c>
      <c r="P41" s="261">
        <f t="shared" si="9"/>
        <v>0</v>
      </c>
      <c r="Q41" s="261">
        <f t="shared" si="9"/>
        <v>0</v>
      </c>
      <c r="R41" s="261">
        <f t="shared" si="9"/>
        <v>0</v>
      </c>
      <c r="S41" s="261">
        <f t="shared" si="9"/>
        <v>0</v>
      </c>
      <c r="T41" s="261">
        <f t="shared" si="9"/>
        <v>0</v>
      </c>
      <c r="U41" s="261">
        <f t="shared" si="9"/>
        <v>0</v>
      </c>
      <c r="Z41" s="1"/>
    </row>
    <row r="42" spans="1:26" ht="12" customHeight="1" x14ac:dyDescent="0.2">
      <c r="A42" s="1"/>
      <c r="B42" s="1"/>
      <c r="C42" s="205" t="str">
        <f>'Budget 26-27'!H33</f>
        <v>AMEX Gold</v>
      </c>
      <c r="D42" s="225">
        <f>'Budget 26-27'!I33</f>
        <v>27.083333333333332</v>
      </c>
      <c r="E42" s="1"/>
      <c r="H42" s="1"/>
      <c r="I42" s="1" t="s">
        <v>56</v>
      </c>
      <c r="J42" s="149">
        <f>J43*4</f>
        <v>0</v>
      </c>
      <c r="K42" s="149">
        <f>K43*4</f>
        <v>0</v>
      </c>
      <c r="L42" s="149">
        <f>L43*4</f>
        <v>0</v>
      </c>
      <c r="M42" s="149">
        <f t="shared" ref="M42" si="10">M43*4</f>
        <v>0</v>
      </c>
      <c r="N42" s="1"/>
      <c r="O42" s="150"/>
      <c r="P42" s="150"/>
      <c r="Q42" s="1"/>
      <c r="R42" s="1"/>
      <c r="S42" s="1"/>
      <c r="T42" s="1"/>
      <c r="U42" s="1"/>
      <c r="Z42" s="1"/>
    </row>
    <row r="43" spans="1:26" ht="12" customHeight="1" x14ac:dyDescent="0.2">
      <c r="A43" s="1"/>
      <c r="B43" s="1"/>
      <c r="C43" s="207"/>
      <c r="D43" s="225"/>
      <c r="E43" s="1"/>
      <c r="H43" s="1"/>
      <c r="I43" s="1" t="s">
        <v>57</v>
      </c>
      <c r="J43" s="151">
        <f>J22/4</f>
        <v>0</v>
      </c>
      <c r="K43" s="151">
        <f>K22/4</f>
        <v>0</v>
      </c>
      <c r="L43" s="151">
        <f>L22/4</f>
        <v>0</v>
      </c>
      <c r="M43" s="151">
        <f t="shared" ref="M43:U43" si="11">M22/4</f>
        <v>0</v>
      </c>
      <c r="N43" s="151">
        <f t="shared" si="11"/>
        <v>0</v>
      </c>
      <c r="O43" s="151">
        <f t="shared" si="11"/>
        <v>0</v>
      </c>
      <c r="P43" s="151">
        <f t="shared" si="11"/>
        <v>0</v>
      </c>
      <c r="Q43" s="151">
        <f t="shared" si="11"/>
        <v>0</v>
      </c>
      <c r="R43" s="151">
        <f t="shared" si="11"/>
        <v>0</v>
      </c>
      <c r="S43" s="151">
        <f t="shared" si="11"/>
        <v>0</v>
      </c>
      <c r="T43" s="151">
        <f t="shared" si="11"/>
        <v>0</v>
      </c>
      <c r="U43" s="151">
        <f t="shared" si="11"/>
        <v>0</v>
      </c>
      <c r="Z43" s="1"/>
    </row>
    <row r="44" spans="1:26" ht="12" customHeight="1" x14ac:dyDescent="0.2">
      <c r="A44" s="1"/>
      <c r="B44" s="1"/>
      <c r="C44" s="208"/>
      <c r="D44" s="225"/>
      <c r="E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1"/>
      <c r="C45" s="209"/>
      <c r="D45" s="225"/>
      <c r="E45" s="1"/>
      <c r="F45" s="1"/>
      <c r="G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thickBot="1" x14ac:dyDescent="0.25">
      <c r="A46" s="1"/>
      <c r="B46" s="1"/>
      <c r="C46" s="211" t="str">
        <f>'Budget 26-27'!H37</f>
        <v>Total:</v>
      </c>
      <c r="D46" s="226">
        <f>'Budget 26-27'!I37</f>
        <v>36.063333333333333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thickTop="1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1"/>
      <c r="C48" s="4" t="str">
        <f>'Budget 26-27'!H23</f>
        <v>LIRR Ticket Calc</v>
      </c>
      <c r="D48" s="5"/>
      <c r="E48" s="6" t="str">
        <f>'Budget 26-27'!J23</f>
        <v>Per Month</v>
      </c>
      <c r="F48" s="7" t="str">
        <f>'Budget 26-27'!K23</f>
        <v>Per Week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1"/>
      <c r="C49" s="11" t="str">
        <f>'Budget 26-27'!H24</f>
        <v xml:space="preserve">Trips </v>
      </c>
      <c r="D49" s="1"/>
      <c r="E49" s="227">
        <f>'Budget 26-27'!J24</f>
        <v>32</v>
      </c>
      <c r="F49" s="228">
        <f>'Budget 26-27'!K24</f>
        <v>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1"/>
      <c r="C50" s="27"/>
      <c r="D50" s="1"/>
      <c r="E50" s="218"/>
      <c r="F50" s="220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1"/>
      <c r="C51" s="11" t="str">
        <f>'Budget 26-27'!H26</f>
        <v>One Way Peak</v>
      </c>
      <c r="D51" s="52"/>
      <c r="E51" s="218">
        <f>'Budget 26-27'!J26</f>
        <v>560</v>
      </c>
      <c r="F51" s="220">
        <f>'Budget 26-27'!K26</f>
        <v>140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1"/>
      <c r="C52" s="11" t="str">
        <f>'Budget 26-27'!H27</f>
        <v>Monthly</v>
      </c>
      <c r="D52" s="1"/>
      <c r="E52" s="229">
        <f>'Budget 26-27'!J27</f>
        <v>341</v>
      </c>
      <c r="F52" s="220">
        <f>'Budget 26-27'!K27</f>
        <v>85.25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thickBot="1" x14ac:dyDescent="0.25">
      <c r="A53" s="1"/>
      <c r="B53" s="1"/>
      <c r="C53" s="63"/>
      <c r="D53" s="37"/>
      <c r="E53" s="223"/>
      <c r="F53" s="224">
        <f>'Budget 26-27'!K28</f>
        <v>10.65625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1"/>
      <c r="C55" s="4" t="s">
        <v>31</v>
      </c>
      <c r="D55" s="47"/>
      <c r="E55" s="6" t="s">
        <v>22</v>
      </c>
      <c r="F55" s="7" t="s">
        <v>23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1"/>
      <c r="C56" s="167" t="s">
        <v>79</v>
      </c>
      <c r="D56" s="1"/>
      <c r="E56" s="229">
        <f>E21</f>
        <v>500</v>
      </c>
      <c r="F56" s="230">
        <f>F21</f>
        <v>125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1"/>
      <c r="C57" s="167" t="s">
        <v>85</v>
      </c>
      <c r="D57" s="1"/>
      <c r="E57" s="229">
        <f>E19+E20</f>
        <v>768</v>
      </c>
      <c r="F57" s="230">
        <f>F19+F20</f>
        <v>192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1"/>
      <c r="C58" s="24" t="s">
        <v>36</v>
      </c>
      <c r="D58" s="25"/>
      <c r="E58" s="231">
        <f>E25</f>
        <v>750</v>
      </c>
      <c r="F58" s="232">
        <f>F25</f>
        <v>187.5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thickBot="1" x14ac:dyDescent="0.25">
      <c r="A59" s="1"/>
      <c r="B59" s="1"/>
      <c r="C59" s="57" t="s">
        <v>38</v>
      </c>
      <c r="D59" s="37"/>
      <c r="E59" s="233">
        <f>SUM(E56:E58)</f>
        <v>2018</v>
      </c>
      <c r="F59" s="234">
        <f>SUM(F56:F58)</f>
        <v>504.5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customHeight="1" x14ac:dyDescent="0.2">
      <c r="C1001" s="1"/>
      <c r="D1001" s="1"/>
      <c r="E1001" s="1"/>
      <c r="F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" customHeight="1" x14ac:dyDescent="0.2">
      <c r="C1002" s="1"/>
      <c r="D1002" s="1"/>
      <c r="E1002" s="1"/>
      <c r="F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</sheetData>
  <conditionalFormatting sqref="I26:U26">
    <cfRule type="cellIs" dxfId="5" priority="1" operator="equal">
      <formula>"n.a."</formula>
    </cfRule>
    <cfRule type="cellIs" dxfId="4" priority="2" operator="greaterThan">
      <formula>0</formula>
    </cfRule>
    <cfRule type="cellIs" dxfId="3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9058-DC62-8D47-B2C0-A98DDE3EB17A}">
  <sheetPr>
    <outlinePr summaryBelow="0" summaryRight="0"/>
  </sheetPr>
  <dimension ref="A1:E21"/>
  <sheetViews>
    <sheetView showGridLines="0" zoomScale="150" workbookViewId="0">
      <selection activeCell="D19" sqref="D19"/>
    </sheetView>
  </sheetViews>
  <sheetFormatPr baseColWidth="10" defaultColWidth="12.6640625" defaultRowHeight="15" customHeight="1" x14ac:dyDescent="0.2"/>
  <cols>
    <col min="1" max="1" width="4.33203125" customWidth="1"/>
    <col min="2" max="2" width="63.83203125" customWidth="1"/>
    <col min="4" max="4" width="19.5" customWidth="1"/>
    <col min="5" max="5" width="45.83203125" customWidth="1"/>
  </cols>
  <sheetData>
    <row r="1" spans="1:5" ht="15" customHeight="1" x14ac:dyDescent="0.2">
      <c r="A1" s="152"/>
    </row>
    <row r="2" spans="1:5" ht="17" x14ac:dyDescent="0.2">
      <c r="A2" s="152"/>
      <c r="B2" s="309" t="s">
        <v>93</v>
      </c>
      <c r="C2" s="310"/>
      <c r="D2" s="310"/>
      <c r="E2" s="310"/>
    </row>
    <row r="3" spans="1:5" x14ac:dyDescent="0.2">
      <c r="A3" s="152"/>
      <c r="B3" s="311" t="s">
        <v>94</v>
      </c>
      <c r="C3" s="310"/>
      <c r="D3" s="310"/>
      <c r="E3" s="310"/>
    </row>
    <row r="4" spans="1:5" x14ac:dyDescent="0.2">
      <c r="A4" s="152"/>
      <c r="B4" s="152"/>
      <c r="C4" s="153"/>
      <c r="D4" s="153"/>
      <c r="E4" s="152"/>
    </row>
    <row r="5" spans="1:5" x14ac:dyDescent="0.2">
      <c r="A5" s="152"/>
      <c r="B5" s="154" t="s">
        <v>58</v>
      </c>
      <c r="C5" s="155" t="s">
        <v>59</v>
      </c>
      <c r="D5" s="155" t="s">
        <v>60</v>
      </c>
      <c r="E5" s="154" t="s">
        <v>61</v>
      </c>
    </row>
    <row r="6" spans="1:5" x14ac:dyDescent="0.2">
      <c r="A6" s="152"/>
      <c r="B6" s="156" t="s">
        <v>62</v>
      </c>
      <c r="C6" s="157">
        <v>6950</v>
      </c>
      <c r="D6" s="157">
        <f>C6/3 + 50</f>
        <v>2366.6666666666665</v>
      </c>
      <c r="E6" s="158"/>
    </row>
    <row r="7" spans="1:5" x14ac:dyDescent="0.2">
      <c r="A7" s="152"/>
      <c r="B7" s="159" t="s">
        <v>63</v>
      </c>
      <c r="C7" s="160">
        <v>75</v>
      </c>
      <c r="D7" s="160">
        <f t="shared" ref="D7:D8" si="0">C7/3</f>
        <v>25</v>
      </c>
      <c r="E7" s="156" t="s">
        <v>65</v>
      </c>
    </row>
    <row r="8" spans="1:5" x14ac:dyDescent="0.2">
      <c r="A8" s="152"/>
      <c r="B8" s="156" t="s">
        <v>95</v>
      </c>
      <c r="C8" s="157">
        <v>140</v>
      </c>
      <c r="D8" s="157">
        <f t="shared" si="0"/>
        <v>46.666666666666664</v>
      </c>
      <c r="E8" s="156" t="s">
        <v>65</v>
      </c>
    </row>
    <row r="9" spans="1:5" x14ac:dyDescent="0.2">
      <c r="A9" s="152"/>
      <c r="B9" s="159"/>
      <c r="C9" s="160"/>
      <c r="D9" s="160"/>
      <c r="E9" s="152"/>
    </row>
    <row r="10" spans="1:5" x14ac:dyDescent="0.2">
      <c r="A10" s="152"/>
      <c r="B10" s="161" t="s">
        <v>66</v>
      </c>
      <c r="C10" s="162">
        <f>SUM(C6:C9)</f>
        <v>7165</v>
      </c>
      <c r="D10" s="162">
        <f t="shared" ref="D10" si="1">SUM(D6:D9)</f>
        <v>2438.333333333333</v>
      </c>
      <c r="E10" s="163"/>
    </row>
    <row r="11" spans="1:5" x14ac:dyDescent="0.2">
      <c r="A11" s="152"/>
      <c r="B11" s="152"/>
      <c r="C11" s="153"/>
      <c r="D11" s="153"/>
      <c r="E11" s="152"/>
    </row>
    <row r="12" spans="1:5" x14ac:dyDescent="0.2">
      <c r="A12" s="152"/>
      <c r="B12" s="154" t="s">
        <v>67</v>
      </c>
      <c r="C12" s="155" t="s">
        <v>59</v>
      </c>
      <c r="D12" s="155" t="s">
        <v>60</v>
      </c>
      <c r="E12" s="154" t="s">
        <v>61</v>
      </c>
    </row>
    <row r="13" spans="1:5" x14ac:dyDescent="0.2">
      <c r="A13" s="152"/>
      <c r="B13" s="156" t="s">
        <v>96</v>
      </c>
      <c r="C13" s="157">
        <f>1275+250</f>
        <v>1525</v>
      </c>
      <c r="D13" s="157">
        <f>C13/3</f>
        <v>508.33333333333331</v>
      </c>
      <c r="E13" s="158"/>
    </row>
    <row r="14" spans="1:5" x14ac:dyDescent="0.2">
      <c r="A14" s="152"/>
      <c r="B14" s="159" t="s">
        <v>68</v>
      </c>
      <c r="C14" s="160">
        <v>20</v>
      </c>
      <c r="D14" s="160">
        <f>C14/3</f>
        <v>6.666666666666667</v>
      </c>
      <c r="E14" s="159"/>
    </row>
    <row r="15" spans="1:5" x14ac:dyDescent="0.2">
      <c r="A15" s="152"/>
      <c r="B15" s="156" t="s">
        <v>69</v>
      </c>
      <c r="C15" s="157">
        <v>6950</v>
      </c>
      <c r="D15" s="157">
        <f t="shared" ref="D15:D16" si="2">C15/3</f>
        <v>2316.6666666666665</v>
      </c>
      <c r="E15" s="156"/>
    </row>
    <row r="16" spans="1:5" x14ac:dyDescent="0.2">
      <c r="A16" s="152"/>
      <c r="B16" s="152" t="s">
        <v>70</v>
      </c>
      <c r="C16" s="164">
        <v>8340</v>
      </c>
      <c r="D16" s="164">
        <f t="shared" si="2"/>
        <v>2780</v>
      </c>
      <c r="E16" s="152"/>
    </row>
    <row r="17" spans="1:5" x14ac:dyDescent="0.2">
      <c r="A17" s="152"/>
      <c r="B17" s="161" t="s">
        <v>71</v>
      </c>
      <c r="C17" s="162">
        <f>SUM(C13:C16)</f>
        <v>16835</v>
      </c>
      <c r="D17" s="162">
        <f>SUM(D13:D16)</f>
        <v>5611.6666666666661</v>
      </c>
      <c r="E17" s="163"/>
    </row>
    <row r="18" spans="1:5" x14ac:dyDescent="0.2">
      <c r="A18" s="152"/>
      <c r="B18" s="152"/>
      <c r="C18" s="153"/>
      <c r="D18" s="153"/>
      <c r="E18" s="152"/>
    </row>
    <row r="19" spans="1:5" x14ac:dyDescent="0.2">
      <c r="A19" s="152"/>
      <c r="B19" s="161" t="s">
        <v>72</v>
      </c>
      <c r="C19" s="162">
        <f>C10+C17</f>
        <v>24000</v>
      </c>
      <c r="D19" s="162">
        <f>D10+D17</f>
        <v>8049.9999999999991</v>
      </c>
      <c r="E19" s="163"/>
    </row>
    <row r="20" spans="1:5" x14ac:dyDescent="0.2">
      <c r="B20" s="161" t="s">
        <v>73</v>
      </c>
      <c r="C20" s="162">
        <f>C19 + (C10*11)</f>
        <v>102815</v>
      </c>
      <c r="D20" s="162">
        <f>D19 + (D10*11)</f>
        <v>34871.666666666664</v>
      </c>
      <c r="E20" s="163"/>
    </row>
    <row r="21" spans="1:5" ht="15" customHeight="1" x14ac:dyDescent="0.2">
      <c r="C21" s="165"/>
      <c r="D21" s="165"/>
    </row>
  </sheetData>
  <mergeCells count="2">
    <mergeCell ref="B2:E2"/>
    <mergeCell ref="B3:E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E973-98B1-7348-A3E2-5A06D4CA0C72}">
  <dimension ref="B2:N27"/>
  <sheetViews>
    <sheetView zoomScale="140" workbookViewId="0">
      <selection activeCell="C8" sqref="C8"/>
    </sheetView>
  </sheetViews>
  <sheetFormatPr baseColWidth="10" defaultRowHeight="15" x14ac:dyDescent="0.2"/>
  <sheetData>
    <row r="2" spans="2:14" x14ac:dyDescent="0.2">
      <c r="B2" s="277" t="s">
        <v>97</v>
      </c>
      <c r="C2" s="278" t="s">
        <v>100</v>
      </c>
      <c r="D2" s="278" t="s">
        <v>101</v>
      </c>
      <c r="E2" s="278" t="s">
        <v>102</v>
      </c>
      <c r="F2" s="278" t="s">
        <v>103</v>
      </c>
      <c r="G2" s="278" t="s">
        <v>104</v>
      </c>
      <c r="H2" s="278" t="s">
        <v>105</v>
      </c>
      <c r="I2" s="278" t="s">
        <v>106</v>
      </c>
      <c r="J2" s="278" t="s">
        <v>119</v>
      </c>
      <c r="K2" s="278" t="s">
        <v>107</v>
      </c>
      <c r="L2" s="278" t="s">
        <v>108</v>
      </c>
      <c r="M2" s="278" t="s">
        <v>98</v>
      </c>
      <c r="N2" s="278" t="s">
        <v>99</v>
      </c>
    </row>
    <row r="3" spans="2:14" x14ac:dyDescent="0.2">
      <c r="B3" s="279" t="s">
        <v>109</v>
      </c>
      <c r="C3" s="281">
        <v>8050</v>
      </c>
      <c r="D3" s="280"/>
      <c r="E3" s="280"/>
      <c r="F3" s="280"/>
      <c r="G3" s="280"/>
      <c r="H3" s="280"/>
      <c r="I3" s="280"/>
      <c r="J3" s="280"/>
      <c r="K3" s="280"/>
      <c r="L3" s="280"/>
      <c r="M3" s="281"/>
      <c r="N3" s="282"/>
    </row>
    <row r="4" spans="2:14" x14ac:dyDescent="0.2">
      <c r="B4" s="279" t="s">
        <v>110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</row>
    <row r="5" spans="2:14" x14ac:dyDescent="0.2">
      <c r="B5" s="279" t="s">
        <v>111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</row>
    <row r="6" spans="2:14" x14ac:dyDescent="0.2">
      <c r="B6" s="279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spans="2:14" x14ac:dyDescent="0.2">
      <c r="B7" s="279"/>
      <c r="C7" s="283"/>
      <c r="D7" s="284"/>
      <c r="E7" s="284"/>
      <c r="F7" s="284"/>
      <c r="G7" s="284"/>
      <c r="H7" s="284"/>
      <c r="I7" s="284"/>
      <c r="J7" s="284"/>
      <c r="K7" s="284"/>
      <c r="L7" s="284"/>
      <c r="M7" s="285"/>
      <c r="N7" s="284"/>
    </row>
    <row r="8" spans="2:14" x14ac:dyDescent="0.2">
      <c r="B8" s="279" t="s">
        <v>112</v>
      </c>
      <c r="C8" s="283">
        <f>SUM(C3:N3)+ SUM(C4:N4)+ SUM(C5:N5) + SUM(C6:N6) + F14</f>
        <v>8050</v>
      </c>
      <c r="D8" s="284"/>
      <c r="E8" s="284"/>
      <c r="F8" s="284"/>
      <c r="G8" s="284"/>
      <c r="H8" s="284"/>
      <c r="I8" s="284"/>
      <c r="J8" s="284"/>
      <c r="K8" s="284"/>
      <c r="L8" s="284"/>
      <c r="M8" s="285"/>
      <c r="N8" s="284"/>
    </row>
    <row r="9" spans="2:14" x14ac:dyDescent="0.2">
      <c r="B9" s="286"/>
      <c r="C9" s="283"/>
      <c r="D9" s="284"/>
      <c r="E9" s="284"/>
      <c r="F9" s="284"/>
      <c r="G9" s="284"/>
      <c r="H9" s="284"/>
      <c r="I9" s="284"/>
      <c r="J9" s="284"/>
      <c r="K9" s="284"/>
      <c r="L9" s="284"/>
      <c r="M9" s="285"/>
      <c r="N9" s="284"/>
    </row>
    <row r="10" spans="2:14" x14ac:dyDescent="0.2">
      <c r="B10" s="286"/>
      <c r="C10" s="284"/>
      <c r="D10" s="284"/>
      <c r="E10" s="284"/>
      <c r="F10" s="287"/>
      <c r="G10" s="287"/>
      <c r="H10" s="287"/>
      <c r="I10" s="287"/>
      <c r="J10" s="287"/>
      <c r="K10" s="287"/>
      <c r="L10" s="287"/>
      <c r="M10" s="285"/>
      <c r="N10" s="284"/>
    </row>
    <row r="11" spans="2:14" x14ac:dyDescent="0.2">
      <c r="B11" s="279"/>
      <c r="C11" s="283"/>
      <c r="D11" s="284"/>
      <c r="E11" s="284"/>
      <c r="F11" s="288"/>
      <c r="G11" s="289"/>
      <c r="H11" s="284"/>
      <c r="I11" s="284"/>
      <c r="J11" s="290"/>
      <c r="K11" s="289"/>
      <c r="L11" s="280"/>
      <c r="M11" s="285"/>
      <c r="N11" s="284"/>
    </row>
    <row r="12" spans="2:14" x14ac:dyDescent="0.2">
      <c r="B12" s="279"/>
      <c r="C12" s="283"/>
      <c r="D12" s="284"/>
      <c r="E12" s="284"/>
      <c r="F12" s="288"/>
      <c r="G12" s="289"/>
      <c r="H12" s="284"/>
      <c r="I12" s="284"/>
      <c r="J12" s="284"/>
      <c r="K12" s="289"/>
      <c r="L12" s="288"/>
      <c r="M12" s="285"/>
      <c r="N12" s="284"/>
    </row>
    <row r="13" spans="2:14" x14ac:dyDescent="0.2">
      <c r="B13" s="286"/>
      <c r="C13" s="284"/>
      <c r="D13" s="284"/>
      <c r="E13" s="284"/>
      <c r="F13" s="288"/>
      <c r="G13" s="284"/>
      <c r="H13" s="284"/>
      <c r="I13" s="284"/>
      <c r="J13" s="284"/>
      <c r="K13" s="284"/>
      <c r="L13" s="291"/>
      <c r="M13" s="285"/>
      <c r="N13" s="284"/>
    </row>
    <row r="14" spans="2:14" x14ac:dyDescent="0.2">
      <c r="B14" s="292" t="s">
        <v>113</v>
      </c>
      <c r="C14" s="293">
        <f>SUM(C4:N6)</f>
        <v>0</v>
      </c>
      <c r="D14" s="294"/>
      <c r="E14" s="287"/>
      <c r="F14" s="295"/>
      <c r="G14" s="294"/>
      <c r="H14" s="294"/>
      <c r="I14" s="294"/>
      <c r="J14" s="294"/>
      <c r="K14" s="294"/>
      <c r="L14" s="294"/>
      <c r="M14" s="296"/>
      <c r="N14" s="294"/>
    </row>
    <row r="17" spans="2:4" x14ac:dyDescent="0.2">
      <c r="B17" t="s">
        <v>37</v>
      </c>
      <c r="C17" t="s">
        <v>60</v>
      </c>
      <c r="D17" t="s">
        <v>38</v>
      </c>
    </row>
    <row r="18" spans="2:4" x14ac:dyDescent="0.2">
      <c r="B18" t="s">
        <v>64</v>
      </c>
      <c r="C18" s="297">
        <f t="shared" ref="C18:C20" si="0">D18 / 6</f>
        <v>27.406666666666666</v>
      </c>
      <c r="D18" s="297">
        <v>164.44</v>
      </c>
    </row>
    <row r="19" spans="2:4" x14ac:dyDescent="0.2">
      <c r="B19" t="s">
        <v>114</v>
      </c>
      <c r="C19" s="297">
        <f>D19 / 6</f>
        <v>53.206666666666671</v>
      </c>
      <c r="D19" s="297">
        <v>319.24</v>
      </c>
    </row>
    <row r="20" spans="2:4" x14ac:dyDescent="0.2">
      <c r="B20" t="s">
        <v>115</v>
      </c>
      <c r="C20" s="297">
        <f t="shared" si="0"/>
        <v>11.726666666666667</v>
      </c>
      <c r="D20" s="297">
        <v>70.36</v>
      </c>
    </row>
    <row r="21" spans="2:4" x14ac:dyDescent="0.2">
      <c r="B21" t="s">
        <v>38</v>
      </c>
      <c r="C21" s="297">
        <f>SUM(C18:C20)</f>
        <v>92.34</v>
      </c>
      <c r="D21" s="297">
        <f>SUM(D18:D20)</f>
        <v>554.04</v>
      </c>
    </row>
    <row r="23" spans="2:4" x14ac:dyDescent="0.2">
      <c r="B23" s="298" t="s">
        <v>116</v>
      </c>
      <c r="C23" s="298" t="s">
        <v>117</v>
      </c>
      <c r="D23" s="298" t="s">
        <v>118</v>
      </c>
    </row>
    <row r="24" spans="2:4" x14ac:dyDescent="0.2">
      <c r="B24" t="s">
        <v>64</v>
      </c>
      <c r="C24" s="299">
        <f xml:space="preserve"> (C18 - D24) / D24</f>
        <v>-7.9695545108574031E-2</v>
      </c>
      <c r="D24" s="300">
        <v>29.78</v>
      </c>
    </row>
    <row r="25" spans="2:4" x14ac:dyDescent="0.2">
      <c r="B25" t="s">
        <v>114</v>
      </c>
      <c r="C25" s="299">
        <f xml:space="preserve"> (C19 - D25) / D25</f>
        <v>-0.3510590722445826</v>
      </c>
      <c r="D25" s="301">
        <v>81.99</v>
      </c>
    </row>
    <row r="26" spans="2:4" x14ac:dyDescent="0.2">
      <c r="B26" t="s">
        <v>115</v>
      </c>
      <c r="C26" s="299">
        <f xml:space="preserve"> (C20 - D26) / D26</f>
        <v>-2.841716396704053E-4</v>
      </c>
      <c r="D26" s="300">
        <v>11.73</v>
      </c>
    </row>
    <row r="27" spans="2:4" x14ac:dyDescent="0.2">
      <c r="B27" t="s">
        <v>38</v>
      </c>
      <c r="C27" s="299">
        <f xml:space="preserve"> (C21 - D27) / D27</f>
        <v>-0.25224714551785565</v>
      </c>
      <c r="D27" s="301">
        <v>123.49</v>
      </c>
    </row>
  </sheetData>
  <phoneticPr fontId="37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D873"/>
    <pageSetUpPr fitToPage="1"/>
  </sheetPr>
  <dimension ref="A1:AE1000"/>
  <sheetViews>
    <sheetView showGridLines="0" zoomScale="135" workbookViewId="0">
      <selection activeCell="J11" sqref="J11"/>
    </sheetView>
  </sheetViews>
  <sheetFormatPr baseColWidth="10" defaultColWidth="12.6640625" defaultRowHeight="15" customHeight="1" x14ac:dyDescent="0.2"/>
  <cols>
    <col min="1" max="2" width="1.6640625" customWidth="1"/>
    <col min="3" max="3" width="23" customWidth="1"/>
    <col min="4" max="4" width="11.1640625" customWidth="1"/>
    <col min="5" max="6" width="10.6640625" customWidth="1"/>
    <col min="7" max="7" width="1.6640625" customWidth="1"/>
    <col min="8" max="8" width="16.6640625" customWidth="1"/>
    <col min="9" max="25" width="8.6640625" customWidth="1"/>
    <col min="26" max="26" width="1.6640625" customWidth="1"/>
    <col min="27" max="31" width="9.1640625" customWidth="1"/>
  </cols>
  <sheetData>
    <row r="1" spans="1:31" ht="6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6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 customHeight="1" x14ac:dyDescent="0.2">
      <c r="A3" s="1"/>
      <c r="B3" s="1"/>
      <c r="C3" s="2">
        <f ca="1">TODAY()</f>
        <v>46252</v>
      </c>
      <c r="D3" s="3" t="s">
        <v>39</v>
      </c>
      <c r="E3" s="1"/>
      <c r="F3" s="1"/>
      <c r="G3" s="1"/>
      <c r="H3" s="1"/>
      <c r="I3" s="1"/>
      <c r="J3" s="1"/>
      <c r="K3" s="1"/>
      <c r="L3" s="6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6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" customHeight="1" x14ac:dyDescent="0.2">
      <c r="A5" s="1"/>
      <c r="B5" s="1"/>
      <c r="C5" s="4" t="str">
        <f>'Budget 26-27'!C5</f>
        <v xml:space="preserve">Income </v>
      </c>
      <c r="D5" s="5"/>
      <c r="E5" s="6" t="s">
        <v>2</v>
      </c>
      <c r="F5" s="7" t="s">
        <v>3</v>
      </c>
      <c r="G5" s="1"/>
      <c r="H5" s="8"/>
      <c r="I5" s="5"/>
      <c r="J5" s="9">
        <f>'Budget 26-27'!K5</f>
        <v>46295</v>
      </c>
      <c r="K5" s="9">
        <f>'Budget 26-27'!L5</f>
        <v>46325</v>
      </c>
      <c r="L5" s="9">
        <f>'Budget 26-27'!M5</f>
        <v>46356</v>
      </c>
      <c r="M5" s="9">
        <f>'Budget 26-27'!N5</f>
        <v>46386</v>
      </c>
      <c r="N5" s="9">
        <f>'Budget 26-27'!O5</f>
        <v>46417</v>
      </c>
      <c r="O5" s="9">
        <f>'Budget 26-27'!P5</f>
        <v>46446</v>
      </c>
      <c r="P5" s="9">
        <f>'Budget 26-27'!Q5</f>
        <v>46474</v>
      </c>
      <c r="Q5" s="9">
        <f>'Budget 26-27'!R5</f>
        <v>46505</v>
      </c>
      <c r="R5" s="9">
        <f>'Budget 26-27'!S5</f>
        <v>46535</v>
      </c>
      <c r="S5" s="9">
        <f>'Budget 26-27'!T5</f>
        <v>46566</v>
      </c>
      <c r="T5" s="9">
        <f>'Budget 26-27'!U5</f>
        <v>46596</v>
      </c>
      <c r="U5" s="9">
        <f>'Budget 26-27'!V5</f>
        <v>0</v>
      </c>
      <c r="V5" s="9">
        <f>'Budget 26-27'!W5</f>
        <v>0</v>
      </c>
      <c r="W5" s="9">
        <f>'Budget 26-27'!X5</f>
        <v>0</v>
      </c>
      <c r="X5" s="9">
        <f>'Budget 26-27'!Y5</f>
        <v>0</v>
      </c>
      <c r="Y5" s="10">
        <f>'Budget 26-27'!Z5</f>
        <v>0</v>
      </c>
      <c r="Z5" s="1"/>
      <c r="AA5" s="1"/>
      <c r="AB5" s="1"/>
      <c r="AC5" s="1"/>
      <c r="AD5" s="1"/>
      <c r="AE5" s="1"/>
    </row>
    <row r="6" spans="1:31" ht="12" customHeight="1" x14ac:dyDescent="0.2">
      <c r="A6" s="1"/>
      <c r="B6" s="1"/>
      <c r="C6" s="11" t="str">
        <f>'Budget 26-27'!C6</f>
        <v>Base Salary</v>
      </c>
      <c r="D6" s="69"/>
      <c r="E6" s="70">
        <f>'Budget 26-27'!E6</f>
        <v>122500</v>
      </c>
      <c r="F6" s="71">
        <f>'Budget 26-27'!F6</f>
        <v>88004</v>
      </c>
      <c r="G6" s="1"/>
      <c r="H6" s="14" t="s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5"/>
      <c r="Z6" s="1"/>
      <c r="AA6" s="1"/>
      <c r="AB6" s="1"/>
      <c r="AC6" s="1"/>
      <c r="AD6" s="1"/>
      <c r="AE6" s="1"/>
    </row>
    <row r="7" spans="1:31" ht="12" customHeight="1" x14ac:dyDescent="0.2">
      <c r="A7" s="1"/>
      <c r="B7" s="1"/>
      <c r="C7" s="11" t="str">
        <f>'Budget 26-27'!C7</f>
        <v>Tax Rate (State, Federal, City, Medicare, Social Security)</v>
      </c>
      <c r="D7" s="72">
        <f>'Budget 26-27'!D7</f>
        <v>0.28160000000000002</v>
      </c>
      <c r="E7" s="69"/>
      <c r="F7" s="71">
        <f>'Budget 26-27'!F7</f>
        <v>34496</v>
      </c>
      <c r="G7" s="1"/>
      <c r="H7" s="11" t="s">
        <v>6</v>
      </c>
      <c r="I7" s="1"/>
      <c r="J7" s="73">
        <v>3583.08</v>
      </c>
      <c r="K7" s="17">
        <f>3319.82+3311.46</f>
        <v>6631.2800000000007</v>
      </c>
      <c r="L7" s="17">
        <f>3364.73+3314.73</f>
        <v>6679.46</v>
      </c>
      <c r="M7" s="17">
        <f>(12636.14-9000)+3364.71</f>
        <v>7000.8499999999995</v>
      </c>
      <c r="N7" s="74">
        <f>'Budget 26-27'!O7</f>
        <v>7333.666666666667</v>
      </c>
      <c r="O7" s="74">
        <f>'Budget 26-27'!P7</f>
        <v>7333.666666666667</v>
      </c>
      <c r="P7" s="74">
        <f>'Budget 26-27'!Q7</f>
        <v>7333.666666666667</v>
      </c>
      <c r="Q7" s="74">
        <f>'Budget 26-27'!R7</f>
        <v>7333.666666666667</v>
      </c>
      <c r="R7" s="74">
        <f>'Budget 26-27'!S7</f>
        <v>7333.666666666667</v>
      </c>
      <c r="S7" s="74">
        <f>'Budget 26-27'!T7</f>
        <v>7333.666666666667</v>
      </c>
      <c r="T7" s="74">
        <f>'Budget 26-27'!U7</f>
        <v>7333.666666666667</v>
      </c>
      <c r="U7" s="74">
        <f>'Budget 26-27'!V7</f>
        <v>0</v>
      </c>
      <c r="V7" s="74">
        <f>'Budget 26-27'!W7</f>
        <v>0</v>
      </c>
      <c r="W7" s="74">
        <f>'Budget 26-27'!X7</f>
        <v>0</v>
      </c>
      <c r="X7" s="74">
        <f>'Budget 26-27'!Y7</f>
        <v>0</v>
      </c>
      <c r="Y7" s="75">
        <f>'Budget 26-27'!Z7</f>
        <v>0</v>
      </c>
      <c r="Z7" s="1"/>
      <c r="AA7" s="1"/>
      <c r="AB7" s="1"/>
      <c r="AC7" s="1"/>
      <c r="AD7" s="1"/>
      <c r="AE7" s="1"/>
    </row>
    <row r="8" spans="1:31" ht="12" customHeight="1" x14ac:dyDescent="0.2">
      <c r="A8" s="1"/>
      <c r="B8" s="1"/>
      <c r="C8" s="11" t="str">
        <f>'Budget 26-27'!C8</f>
        <v xml:space="preserve">Per Month </v>
      </c>
      <c r="D8" s="69"/>
      <c r="E8" s="70">
        <f>'Budget 26-27'!E8</f>
        <v>10208.333333333334</v>
      </c>
      <c r="F8" s="71">
        <f>'Budget 26-27'!F8</f>
        <v>7333.666666666667</v>
      </c>
      <c r="G8" s="1"/>
      <c r="H8" s="11" t="s">
        <v>8</v>
      </c>
      <c r="I8" s="1"/>
      <c r="J8" s="73"/>
      <c r="K8" s="73"/>
      <c r="L8" s="73"/>
      <c r="M8" s="17">
        <f>9000+600</f>
        <v>9600</v>
      </c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7">
        <v>38500</v>
      </c>
      <c r="Z8" s="1"/>
      <c r="AA8" s="1"/>
      <c r="AB8" s="1"/>
      <c r="AC8" s="1"/>
      <c r="AD8" s="1"/>
      <c r="AE8" s="1"/>
    </row>
    <row r="9" spans="1:31" ht="12" customHeight="1" x14ac:dyDescent="0.2">
      <c r="A9" s="1"/>
      <c r="B9" s="1"/>
      <c r="C9" s="20" t="str">
        <f>'Budget 26-27'!C9</f>
        <v>Max Rent Pmt.</v>
      </c>
      <c r="D9" s="78">
        <f>'Budget 26-27'!D9</f>
        <v>0.3</v>
      </c>
      <c r="E9" s="79">
        <f>'Budget 26-27'!E9</f>
        <v>3062.5</v>
      </c>
      <c r="F9" s="80">
        <f>'Budget 26-27'!F9</f>
        <v>2200.1</v>
      </c>
      <c r="G9" s="1"/>
      <c r="H9" s="11" t="s">
        <v>10</v>
      </c>
      <c r="I9" s="1"/>
      <c r="J9" s="73"/>
      <c r="K9" s="73"/>
      <c r="L9" s="73"/>
      <c r="M9" s="73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7"/>
      <c r="Z9" s="1"/>
      <c r="AA9" s="1"/>
      <c r="AB9" s="1"/>
      <c r="AC9" s="1"/>
      <c r="AD9" s="1"/>
      <c r="AE9" s="1"/>
    </row>
    <row r="10" spans="1:31" ht="12" customHeight="1" x14ac:dyDescent="0.2">
      <c r="A10" s="1"/>
      <c r="B10" s="1"/>
      <c r="C10" s="11" t="str">
        <f>'Budget 26-27'!C10</f>
        <v>Bonus Amount</v>
      </c>
      <c r="D10" s="69"/>
      <c r="E10" s="70">
        <f>'Budget 26-27'!E10</f>
        <v>10000</v>
      </c>
      <c r="F10" s="71">
        <f>'Budget 26-27'!F10</f>
        <v>7000</v>
      </c>
      <c r="G10" s="1"/>
      <c r="H10" s="24" t="s">
        <v>12</v>
      </c>
      <c r="I10" s="25"/>
      <c r="J10" s="26"/>
      <c r="K10" s="26">
        <v>200</v>
      </c>
      <c r="L10" s="26"/>
      <c r="M10" s="26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2"/>
      <c r="Z10" s="1"/>
      <c r="AA10" s="1"/>
      <c r="AB10" s="1"/>
      <c r="AC10" s="1"/>
      <c r="AD10" s="1"/>
      <c r="AE10" s="1"/>
    </row>
    <row r="11" spans="1:31" ht="12" customHeight="1" x14ac:dyDescent="0.2">
      <c r="A11" s="1"/>
      <c r="B11" s="1"/>
      <c r="C11" s="11" t="str">
        <f>'Budget 26-27'!C11</f>
        <v>Tax Rate (State, Federal, City, Medicare, Social Security)</v>
      </c>
      <c r="D11" s="72">
        <f>'Budget 26-27'!D11</f>
        <v>0.3</v>
      </c>
      <c r="E11" s="69"/>
      <c r="F11" s="71">
        <f>'Budget 26-27'!F11</f>
        <v>3000</v>
      </c>
      <c r="G11" s="1"/>
      <c r="H11" s="27" t="s">
        <v>13</v>
      </c>
      <c r="I11" s="1"/>
      <c r="J11" s="28">
        <f t="shared" ref="J11:Y11" si="0">SUM(J7:J10)</f>
        <v>3583.08</v>
      </c>
      <c r="K11" s="28">
        <f t="shared" si="0"/>
        <v>6831.2800000000007</v>
      </c>
      <c r="L11" s="28">
        <f t="shared" si="0"/>
        <v>6679.46</v>
      </c>
      <c r="M11" s="28">
        <f t="shared" si="0"/>
        <v>16600.849999999999</v>
      </c>
      <c r="N11" s="28">
        <f t="shared" si="0"/>
        <v>7333.666666666667</v>
      </c>
      <c r="O11" s="28">
        <f t="shared" si="0"/>
        <v>7333.666666666667</v>
      </c>
      <c r="P11" s="28">
        <f t="shared" si="0"/>
        <v>7333.666666666667</v>
      </c>
      <c r="Q11" s="28">
        <f t="shared" si="0"/>
        <v>7333.666666666667</v>
      </c>
      <c r="R11" s="28">
        <f t="shared" si="0"/>
        <v>7333.666666666667</v>
      </c>
      <c r="S11" s="28">
        <f t="shared" si="0"/>
        <v>7333.666666666667</v>
      </c>
      <c r="T11" s="28">
        <f t="shared" si="0"/>
        <v>7333.666666666667</v>
      </c>
      <c r="U11" s="28">
        <f t="shared" si="0"/>
        <v>0</v>
      </c>
      <c r="V11" s="28">
        <f t="shared" si="0"/>
        <v>0</v>
      </c>
      <c r="W11" s="28">
        <f t="shared" si="0"/>
        <v>0</v>
      </c>
      <c r="X11" s="28">
        <f t="shared" si="0"/>
        <v>0</v>
      </c>
      <c r="Y11" s="29">
        <f t="shared" si="0"/>
        <v>38500</v>
      </c>
      <c r="Z11" s="1"/>
      <c r="AA11" s="1"/>
      <c r="AB11" s="1"/>
      <c r="AC11" s="1"/>
      <c r="AD11" s="1"/>
      <c r="AE11" s="1"/>
    </row>
    <row r="12" spans="1:31" ht="12" customHeight="1" x14ac:dyDescent="0.2">
      <c r="A12" s="1"/>
      <c r="B12" s="1"/>
      <c r="C12" s="11" t="str">
        <f>'Budget 26-27'!C12</f>
        <v>Bonus Payout Date</v>
      </c>
      <c r="D12" s="69"/>
      <c r="E12" s="69"/>
      <c r="F12" s="83">
        <f>'Budget 26-27'!F12</f>
        <v>46235</v>
      </c>
      <c r="G12" s="1"/>
      <c r="H12" s="84" t="s">
        <v>40</v>
      </c>
      <c r="I12" s="85"/>
      <c r="J12" s="86">
        <f>'Budget 26-27'!K11</f>
        <v>7333.666666666667</v>
      </c>
      <c r="K12" s="86">
        <f>'Budget 26-27'!L11</f>
        <v>7333.666666666667</v>
      </c>
      <c r="L12" s="86">
        <f>'Budget 26-27'!M11</f>
        <v>7333.666666666667</v>
      </c>
      <c r="M12" s="86">
        <f>'Budget 26-27'!N11</f>
        <v>7333.666666666667</v>
      </c>
      <c r="N12" s="86">
        <f>'Budget 26-27'!O11</f>
        <v>7333.666666666667</v>
      </c>
      <c r="O12" s="86">
        <f>'Budget 26-27'!P11</f>
        <v>7333.666666666667</v>
      </c>
      <c r="P12" s="86">
        <f>'Budget 26-27'!Q11</f>
        <v>7333.666666666667</v>
      </c>
      <c r="Q12" s="86">
        <f>'Budget 26-27'!R11</f>
        <v>7333.666666666667</v>
      </c>
      <c r="R12" s="86">
        <f>'Budget 26-27'!S11</f>
        <v>7333.666666666667</v>
      </c>
      <c r="S12" s="86">
        <f>'Budget 26-27'!T11</f>
        <v>7333.666666666667</v>
      </c>
      <c r="T12" s="86">
        <f>'Budget 26-27'!U11</f>
        <v>7333.666666666667</v>
      </c>
      <c r="U12" s="86">
        <f>'Budget 26-27'!V11</f>
        <v>0</v>
      </c>
      <c r="V12" s="86">
        <f>'Budget 26-27'!W11</f>
        <v>0</v>
      </c>
      <c r="W12" s="86">
        <f>'Budget 26-27'!X11</f>
        <v>0</v>
      </c>
      <c r="X12" s="86">
        <f>'Budget 26-27'!Y11</f>
        <v>0</v>
      </c>
      <c r="Y12" s="87">
        <f>'Budget 26-27'!Z11</f>
        <v>0</v>
      </c>
      <c r="Z12" s="1"/>
      <c r="AA12" s="1"/>
      <c r="AB12" s="1"/>
      <c r="AC12" s="1"/>
      <c r="AD12" s="1"/>
      <c r="AE12" s="1"/>
    </row>
    <row r="13" spans="1:31" ht="12" customHeight="1" x14ac:dyDescent="0.2">
      <c r="A13" s="1"/>
      <c r="B13" s="1"/>
      <c r="C13" s="31" t="str">
        <f>'Budget 26-27'!C13</f>
        <v>Total Salary</v>
      </c>
      <c r="D13" s="69"/>
      <c r="E13" s="88">
        <f>'Budget 26-27'!E13</f>
        <v>132500</v>
      </c>
      <c r="F13" s="89">
        <f>'Budget 26-27'!F13</f>
        <v>95004</v>
      </c>
      <c r="G13" s="1"/>
      <c r="H13" s="90" t="s">
        <v>41</v>
      </c>
      <c r="I13" s="91"/>
      <c r="J13" s="92">
        <f t="shared" ref="J13:Y13" si="1">J11/J12</f>
        <v>0.48857961001772643</v>
      </c>
      <c r="K13" s="92">
        <f t="shared" si="1"/>
        <v>0.93149584109813199</v>
      </c>
      <c r="L13" s="92">
        <f t="shared" si="1"/>
        <v>0.9107940548156902</v>
      </c>
      <c r="M13" s="92">
        <f t="shared" si="1"/>
        <v>2.2636493795736556</v>
      </c>
      <c r="N13" s="92">
        <f t="shared" si="1"/>
        <v>1</v>
      </c>
      <c r="O13" s="92">
        <f t="shared" si="1"/>
        <v>1</v>
      </c>
      <c r="P13" s="92">
        <f t="shared" si="1"/>
        <v>1</v>
      </c>
      <c r="Q13" s="92">
        <f t="shared" si="1"/>
        <v>1</v>
      </c>
      <c r="R13" s="92">
        <f t="shared" si="1"/>
        <v>1</v>
      </c>
      <c r="S13" s="92">
        <f t="shared" si="1"/>
        <v>1</v>
      </c>
      <c r="T13" s="92">
        <f t="shared" si="1"/>
        <v>1</v>
      </c>
      <c r="U13" s="92" t="e">
        <f t="shared" si="1"/>
        <v>#DIV/0!</v>
      </c>
      <c r="V13" s="92" t="e">
        <f t="shared" si="1"/>
        <v>#DIV/0!</v>
      </c>
      <c r="W13" s="92" t="e">
        <f t="shared" si="1"/>
        <v>#DIV/0!</v>
      </c>
      <c r="X13" s="92" t="e">
        <f t="shared" si="1"/>
        <v>#DIV/0!</v>
      </c>
      <c r="Y13" s="93" t="e">
        <f t="shared" si="1"/>
        <v>#DIV/0!</v>
      </c>
      <c r="Z13" s="1"/>
      <c r="AA13" s="1"/>
      <c r="AB13" s="1"/>
      <c r="AC13" s="1"/>
      <c r="AD13" s="1"/>
      <c r="AE13" s="1"/>
    </row>
    <row r="14" spans="1:31" ht="12" customHeight="1" x14ac:dyDescent="0.2">
      <c r="A14" s="1"/>
      <c r="B14" s="1"/>
      <c r="C14" s="31" t="str">
        <f>'Budget 26-27'!C14</f>
        <v>Total Tax</v>
      </c>
      <c r="D14" s="69"/>
      <c r="E14" s="69"/>
      <c r="F14" s="89">
        <f>'Budget 26-27'!F14</f>
        <v>37496</v>
      </c>
      <c r="G14" s="1"/>
      <c r="H14" s="94" t="s">
        <v>42</v>
      </c>
      <c r="I14" s="95"/>
      <c r="J14" s="96">
        <f t="shared" ref="J14:Y14" si="2">J12-J11</f>
        <v>3750.586666666667</v>
      </c>
      <c r="K14" s="96">
        <f t="shared" si="2"/>
        <v>502.38666666666631</v>
      </c>
      <c r="L14" s="96">
        <f t="shared" si="2"/>
        <v>654.20666666666693</v>
      </c>
      <c r="M14" s="96">
        <f t="shared" si="2"/>
        <v>-9267.1833333333307</v>
      </c>
      <c r="N14" s="96">
        <f t="shared" si="2"/>
        <v>0</v>
      </c>
      <c r="O14" s="96">
        <f t="shared" si="2"/>
        <v>0</v>
      </c>
      <c r="P14" s="96">
        <f t="shared" si="2"/>
        <v>0</v>
      </c>
      <c r="Q14" s="96">
        <f t="shared" si="2"/>
        <v>0</v>
      </c>
      <c r="R14" s="96">
        <f t="shared" si="2"/>
        <v>0</v>
      </c>
      <c r="S14" s="96">
        <f t="shared" si="2"/>
        <v>0</v>
      </c>
      <c r="T14" s="96">
        <f t="shared" si="2"/>
        <v>0</v>
      </c>
      <c r="U14" s="96">
        <f t="shared" si="2"/>
        <v>0</v>
      </c>
      <c r="V14" s="96">
        <f t="shared" si="2"/>
        <v>0</v>
      </c>
      <c r="W14" s="96">
        <f t="shared" si="2"/>
        <v>0</v>
      </c>
      <c r="X14" s="96">
        <f t="shared" si="2"/>
        <v>0</v>
      </c>
      <c r="Y14" s="97">
        <f t="shared" si="2"/>
        <v>-38500</v>
      </c>
      <c r="Z14" s="1"/>
      <c r="AA14" s="1"/>
      <c r="AB14" s="1"/>
      <c r="AC14" s="1"/>
      <c r="AD14" s="1"/>
      <c r="AE14" s="1"/>
    </row>
    <row r="15" spans="1:31" ht="12" customHeight="1" x14ac:dyDescent="0.2">
      <c r="A15" s="1"/>
      <c r="B15" s="1"/>
      <c r="C15" s="36" t="str">
        <f>'Budget 26-27'!C15</f>
        <v>High Yield Savings APR</v>
      </c>
      <c r="D15" s="98"/>
      <c r="E15" s="98"/>
      <c r="F15" s="99">
        <f>'Budget 26-27'!F15</f>
        <v>0</v>
      </c>
      <c r="G15" s="1"/>
      <c r="H15" s="2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5"/>
      <c r="Z15" s="1"/>
      <c r="AA15" s="1"/>
      <c r="AB15" s="1"/>
      <c r="AC15" s="1"/>
      <c r="AD15" s="1"/>
      <c r="AE15" s="1"/>
    </row>
    <row r="16" spans="1:31" ht="12" customHeight="1" x14ac:dyDescent="0.2">
      <c r="A16" s="1"/>
      <c r="B16" s="1"/>
      <c r="C16" s="1"/>
      <c r="D16" s="1"/>
      <c r="E16" s="1"/>
      <c r="F16" s="1"/>
      <c r="G16" s="1"/>
      <c r="H16" s="14" t="s">
        <v>16</v>
      </c>
      <c r="I16" s="1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100"/>
      <c r="V16" s="34"/>
      <c r="W16" s="34"/>
      <c r="X16" s="34"/>
      <c r="Y16" s="35"/>
      <c r="Z16" s="1"/>
      <c r="AA16" s="1"/>
      <c r="AB16" s="1"/>
      <c r="AC16" s="1"/>
      <c r="AD16" s="1"/>
      <c r="AE16" s="48">
        <f>900*24</f>
        <v>21600</v>
      </c>
    </row>
    <row r="17" spans="1:31" ht="12" customHeight="1" x14ac:dyDescent="0.2">
      <c r="A17" s="1"/>
      <c r="B17" s="1"/>
      <c r="C17" s="4" t="str">
        <f>'Budget 26-27'!C17</f>
        <v>Expenses</v>
      </c>
      <c r="D17" s="5"/>
      <c r="E17" s="6" t="str">
        <f>'Budget 26-27'!E17</f>
        <v>Per Month</v>
      </c>
      <c r="F17" s="7" t="str">
        <f>'Budget 26-27'!F17</f>
        <v>Per Week</v>
      </c>
      <c r="G17" s="1"/>
      <c r="H17" s="11" t="s">
        <v>43</v>
      </c>
      <c r="I17" s="1"/>
      <c r="J17" s="73">
        <v>956.14</v>
      </c>
      <c r="K17" s="73">
        <v>976.34</v>
      </c>
      <c r="L17" s="73">
        <v>430.45</v>
      </c>
      <c r="M17" s="73">
        <v>444.55</v>
      </c>
      <c r="N17" s="76">
        <v>1700</v>
      </c>
      <c r="O17" s="76">
        <v>2200</v>
      </c>
      <c r="P17" s="76">
        <v>2000</v>
      </c>
      <c r="Q17" s="76">
        <v>2000</v>
      </c>
      <c r="R17" s="76">
        <v>2000</v>
      </c>
      <c r="S17" s="76">
        <v>2000</v>
      </c>
      <c r="T17" s="76">
        <v>2000</v>
      </c>
      <c r="U17" s="76">
        <v>1800</v>
      </c>
      <c r="V17" s="76">
        <v>1800</v>
      </c>
      <c r="W17" s="76">
        <v>1800</v>
      </c>
      <c r="X17" s="76">
        <v>1800</v>
      </c>
      <c r="Y17" s="101">
        <v>1800</v>
      </c>
      <c r="Z17" s="1"/>
      <c r="AA17" s="1"/>
      <c r="AB17" s="1"/>
      <c r="AC17" s="1"/>
      <c r="AD17" s="1"/>
      <c r="AE17" s="1"/>
    </row>
    <row r="18" spans="1:31" ht="12" customHeight="1" x14ac:dyDescent="0.2">
      <c r="A18" s="1"/>
      <c r="B18" s="1"/>
      <c r="C18" s="11" t="str">
        <f>'Budget 26-27'!C18</f>
        <v>LIRR/Subway</v>
      </c>
      <c r="D18" s="102"/>
      <c r="E18" s="70">
        <f>'Budget 26-27'!E18</f>
        <v>60</v>
      </c>
      <c r="F18" s="71">
        <f>'Budget 26-27'!F18</f>
        <v>15</v>
      </c>
      <c r="G18" s="1"/>
      <c r="H18" s="11" t="s">
        <v>44</v>
      </c>
      <c r="I18" s="1"/>
      <c r="J18" s="73"/>
      <c r="K18" s="17">
        <f>1645.08</f>
        <v>1645.08</v>
      </c>
      <c r="L18" s="73">
        <v>811.33</v>
      </c>
      <c r="M18" s="73">
        <v>2112.4499999999998</v>
      </c>
      <c r="N18" s="76"/>
      <c r="O18" s="76"/>
      <c r="P18" s="76"/>
      <c r="Q18" s="76"/>
      <c r="R18" s="76"/>
      <c r="S18" s="76"/>
      <c r="T18" s="76"/>
      <c r="U18" s="76">
        <v>2600</v>
      </c>
      <c r="V18" s="76">
        <v>2600</v>
      </c>
      <c r="W18" s="76">
        <v>2600</v>
      </c>
      <c r="X18" s="76">
        <v>2600</v>
      </c>
      <c r="Y18" s="101">
        <v>2600</v>
      </c>
      <c r="Z18" s="1"/>
      <c r="AA18" s="1"/>
      <c r="AB18" s="1"/>
      <c r="AC18" s="1"/>
      <c r="AD18" s="1"/>
      <c r="AE18" s="1"/>
    </row>
    <row r="19" spans="1:31" ht="12" customHeight="1" x14ac:dyDescent="0.2">
      <c r="A19" s="1"/>
      <c r="B19" s="1"/>
      <c r="C19" s="11" t="str">
        <f>'Budget 26-27'!C19</f>
        <v>Lunch in Office</v>
      </c>
      <c r="D19" s="103">
        <f>'Budget 26-27'!D19</f>
        <v>3</v>
      </c>
      <c r="E19" s="70">
        <f>'Budget 26-27'!E19</f>
        <v>168</v>
      </c>
      <c r="F19" s="71">
        <f>'Budget 26-27'!F19</f>
        <v>42</v>
      </c>
      <c r="G19" s="1"/>
      <c r="H19" s="11" t="s">
        <v>45</v>
      </c>
      <c r="I19" s="1"/>
      <c r="J19" s="73">
        <v>70.47</v>
      </c>
      <c r="K19" s="73">
        <v>36.729999999999997</v>
      </c>
      <c r="L19" s="73">
        <v>46.73</v>
      </c>
      <c r="M19" s="73">
        <v>36.729999999999997</v>
      </c>
      <c r="N19" s="76"/>
      <c r="O19" s="76"/>
      <c r="P19" s="76"/>
      <c r="Q19" s="76"/>
      <c r="R19" s="76"/>
      <c r="S19" s="76"/>
      <c r="T19" s="76"/>
      <c r="U19" s="76">
        <v>2000</v>
      </c>
      <c r="V19" s="76"/>
      <c r="W19" s="76"/>
      <c r="X19" s="76"/>
      <c r="Y19" s="101">
        <v>3500</v>
      </c>
      <c r="Z19" s="1"/>
      <c r="AA19" s="1"/>
      <c r="AB19" s="1"/>
      <c r="AC19" s="1"/>
      <c r="AD19" s="1"/>
      <c r="AE19" s="1"/>
    </row>
    <row r="20" spans="1:31" ht="12" customHeight="1" x14ac:dyDescent="0.2">
      <c r="A20" s="1"/>
      <c r="B20" s="1"/>
      <c r="C20" s="11" t="str">
        <f>'Budget 26-27'!C20</f>
        <v xml:space="preserve">Sunday Grocery </v>
      </c>
      <c r="D20" s="102"/>
      <c r="E20" s="70">
        <f>'Budget 26-27'!E20</f>
        <v>600</v>
      </c>
      <c r="F20" s="71">
        <f>'Budget 26-27'!F20</f>
        <v>150</v>
      </c>
      <c r="G20" s="1"/>
      <c r="H20" s="11" t="s">
        <v>46</v>
      </c>
      <c r="I20" s="1"/>
      <c r="J20" s="17">
        <f>35+45</f>
        <v>80</v>
      </c>
      <c r="K20" s="73">
        <v>20</v>
      </c>
      <c r="L20" s="17">
        <f>7+170+45+200</f>
        <v>422</v>
      </c>
      <c r="M20" s="17">
        <f>456+13+44.5+50+20</f>
        <v>583.5</v>
      </c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101">
        <v>3500</v>
      </c>
      <c r="Z20" s="1"/>
      <c r="AA20" s="1"/>
      <c r="AB20" s="1"/>
      <c r="AC20" s="1"/>
      <c r="AD20" s="1"/>
      <c r="AE20" s="1"/>
    </row>
    <row r="21" spans="1:31" ht="12" customHeight="1" x14ac:dyDescent="0.2">
      <c r="A21" s="1"/>
      <c r="B21" s="1"/>
      <c r="C21" s="11" t="str">
        <f>'Budget 26-27'!C21</f>
        <v>Jordan Travel</v>
      </c>
      <c r="D21" s="102"/>
      <c r="E21" s="70">
        <f>'Budget 26-27'!E21</f>
        <v>500</v>
      </c>
      <c r="F21" s="71">
        <f>'Budget 26-27'!F21</f>
        <v>125</v>
      </c>
      <c r="G21" s="1"/>
      <c r="H21" s="24" t="s">
        <v>47</v>
      </c>
      <c r="I21" s="25"/>
      <c r="J21" s="39">
        <f t="shared" ref="J21:M21" si="3">10.87+43.49</f>
        <v>54.36</v>
      </c>
      <c r="K21" s="39">
        <f t="shared" si="3"/>
        <v>54.36</v>
      </c>
      <c r="L21" s="39">
        <f t="shared" si="3"/>
        <v>54.36</v>
      </c>
      <c r="M21" s="39">
        <f t="shared" si="3"/>
        <v>54.36</v>
      </c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  <c r="Z21" s="1"/>
      <c r="AA21" s="1"/>
      <c r="AB21" s="1"/>
      <c r="AC21" s="1"/>
      <c r="AD21" s="1"/>
      <c r="AE21" s="1"/>
    </row>
    <row r="22" spans="1:31" ht="12" customHeight="1" x14ac:dyDescent="0.2">
      <c r="A22" s="1"/>
      <c r="B22" s="1"/>
      <c r="C22" s="24" t="str">
        <f>'Budget 26-27'!C22</f>
        <v xml:space="preserve">Subscriptions </v>
      </c>
      <c r="D22" s="104"/>
      <c r="E22" s="105">
        <f>'Budget 26-27'!E22</f>
        <v>36.063333333333333</v>
      </c>
      <c r="F22" s="106">
        <f>'Budget 26-27'!F22</f>
        <v>9.0158333333333331</v>
      </c>
      <c r="G22" s="1"/>
      <c r="H22" s="27" t="s">
        <v>20</v>
      </c>
      <c r="I22" s="1"/>
      <c r="J22" s="17">
        <f t="shared" ref="J22:Y22" si="4">SUM(J17:J21)</f>
        <v>1160.9699999999998</v>
      </c>
      <c r="K22" s="17">
        <f t="shared" si="4"/>
        <v>2732.51</v>
      </c>
      <c r="L22" s="17">
        <f t="shared" si="4"/>
        <v>1764.87</v>
      </c>
      <c r="M22" s="17">
        <f t="shared" si="4"/>
        <v>3231.59</v>
      </c>
      <c r="N22" s="17">
        <f t="shared" si="4"/>
        <v>1700</v>
      </c>
      <c r="O22" s="17">
        <f t="shared" si="4"/>
        <v>2200</v>
      </c>
      <c r="P22" s="17">
        <f t="shared" si="4"/>
        <v>2000</v>
      </c>
      <c r="Q22" s="17">
        <f t="shared" si="4"/>
        <v>2000</v>
      </c>
      <c r="R22" s="17">
        <f t="shared" si="4"/>
        <v>2000</v>
      </c>
      <c r="S22" s="17">
        <f t="shared" si="4"/>
        <v>2000</v>
      </c>
      <c r="T22" s="17">
        <f t="shared" si="4"/>
        <v>2000</v>
      </c>
      <c r="U22" s="17">
        <f t="shared" si="4"/>
        <v>6400</v>
      </c>
      <c r="V22" s="17">
        <f t="shared" si="4"/>
        <v>4400</v>
      </c>
      <c r="W22" s="17">
        <f t="shared" si="4"/>
        <v>4400</v>
      </c>
      <c r="X22" s="17">
        <f t="shared" si="4"/>
        <v>4400</v>
      </c>
      <c r="Y22" s="18">
        <f t="shared" si="4"/>
        <v>11400</v>
      </c>
      <c r="Z22" s="1"/>
      <c r="AA22" s="1"/>
      <c r="AB22" s="1"/>
      <c r="AC22" s="1"/>
      <c r="AD22" s="1"/>
      <c r="AE22" s="1"/>
    </row>
    <row r="23" spans="1:31" ht="12" customHeight="1" x14ac:dyDescent="0.2">
      <c r="A23" s="1"/>
      <c r="B23" s="1"/>
      <c r="C23" s="31" t="str">
        <f>'Budget 26-27'!C23</f>
        <v>Total Fixed</v>
      </c>
      <c r="D23" s="69"/>
      <c r="E23" s="70">
        <f>'Budget 26-27'!E23</f>
        <v>1364.0633333333333</v>
      </c>
      <c r="F23" s="71">
        <f>'Budget 26-27'!F23</f>
        <v>341.01583333333332</v>
      </c>
      <c r="G23" s="1"/>
      <c r="H23" s="84" t="s">
        <v>40</v>
      </c>
      <c r="I23" s="85"/>
      <c r="J23" s="86">
        <f>'Budget 26-27'!K17</f>
        <v>4549.0633333333335</v>
      </c>
      <c r="K23" s="86">
        <f>'Budget 26-27'!L17</f>
        <v>4549.0633333333335</v>
      </c>
      <c r="L23" s="86">
        <f>'Budget 26-27'!M17</f>
        <v>4549.0633333333335</v>
      </c>
      <c r="M23" s="86">
        <f>'Budget 26-27'!N17</f>
        <v>4549.0633333333335</v>
      </c>
      <c r="N23" s="86">
        <f>'Budget 26-27'!O17</f>
        <v>4549.0633333333335</v>
      </c>
      <c r="O23" s="86">
        <f>'Budget 26-27'!P17</f>
        <v>4549.0633333333335</v>
      </c>
      <c r="P23" s="86">
        <f>'Budget 26-27'!Q17</f>
        <v>4549.0633333333335</v>
      </c>
      <c r="Q23" s="86">
        <f>'Budget 26-27'!R17</f>
        <v>4549.0633333333335</v>
      </c>
      <c r="R23" s="86">
        <f>'Budget 26-27'!S17</f>
        <v>4549.0633333333335</v>
      </c>
      <c r="S23" s="86">
        <f>'Budget 26-27'!T17</f>
        <v>4549.0633333333335</v>
      </c>
      <c r="T23" s="86">
        <f>'Budget 26-27'!U17</f>
        <v>4549.0633333333335</v>
      </c>
      <c r="U23" s="86">
        <f>'Budget 26-27'!V17</f>
        <v>0</v>
      </c>
      <c r="V23" s="86">
        <f>'Budget 26-27'!W17</f>
        <v>0</v>
      </c>
      <c r="W23" s="86">
        <f>'Budget 26-27'!X17</f>
        <v>0</v>
      </c>
      <c r="X23" s="86">
        <f>'Budget 26-27'!Y17</f>
        <v>0</v>
      </c>
      <c r="Y23" s="87">
        <f>'Budget 26-27'!Z17</f>
        <v>0</v>
      </c>
      <c r="Z23" s="1"/>
      <c r="AA23" s="1"/>
      <c r="AB23" s="1"/>
      <c r="AC23" s="1"/>
      <c r="AD23" s="1"/>
      <c r="AE23" s="1"/>
    </row>
    <row r="24" spans="1:31" ht="12" customHeight="1" x14ac:dyDescent="0.2">
      <c r="A24" s="1"/>
      <c r="B24" s="1"/>
      <c r="C24" s="27"/>
      <c r="D24" s="69"/>
      <c r="E24" s="69"/>
      <c r="F24" s="107"/>
      <c r="G24" s="1"/>
      <c r="H24" s="90" t="s">
        <v>41</v>
      </c>
      <c r="I24" s="91"/>
      <c r="J24" s="92">
        <f t="shared" ref="J24:Y24" si="5">J22/J23</f>
        <v>0.25521077965500583</v>
      </c>
      <c r="K24" s="92">
        <f t="shared" si="5"/>
        <v>0.60067530385376044</v>
      </c>
      <c r="L24" s="92">
        <f t="shared" si="5"/>
        <v>0.38796338293817256</v>
      </c>
      <c r="M24" s="92">
        <f t="shared" si="5"/>
        <v>0.71038580103303317</v>
      </c>
      <c r="N24" s="92">
        <f t="shared" si="5"/>
        <v>0.37370330448978872</v>
      </c>
      <c r="O24" s="92">
        <f t="shared" si="5"/>
        <v>0.48361604110443246</v>
      </c>
      <c r="P24" s="92">
        <f t="shared" si="5"/>
        <v>0.439650946458575</v>
      </c>
      <c r="Q24" s="92">
        <f t="shared" si="5"/>
        <v>0.439650946458575</v>
      </c>
      <c r="R24" s="92">
        <f t="shared" si="5"/>
        <v>0.439650946458575</v>
      </c>
      <c r="S24" s="92">
        <f t="shared" si="5"/>
        <v>0.439650946458575</v>
      </c>
      <c r="T24" s="92">
        <f t="shared" si="5"/>
        <v>0.439650946458575</v>
      </c>
      <c r="U24" s="92" t="e">
        <f t="shared" si="5"/>
        <v>#DIV/0!</v>
      </c>
      <c r="V24" s="92" t="e">
        <f t="shared" si="5"/>
        <v>#DIV/0!</v>
      </c>
      <c r="W24" s="92" t="e">
        <f t="shared" si="5"/>
        <v>#DIV/0!</v>
      </c>
      <c r="X24" s="92" t="e">
        <f t="shared" si="5"/>
        <v>#DIV/0!</v>
      </c>
      <c r="Y24" s="93" t="e">
        <f t="shared" si="5"/>
        <v>#DIV/0!</v>
      </c>
      <c r="Z24" s="1"/>
      <c r="AA24" s="1"/>
      <c r="AB24" s="1"/>
      <c r="AC24" s="1"/>
      <c r="AD24" s="1"/>
      <c r="AE24" s="1"/>
    </row>
    <row r="25" spans="1:31" ht="12" customHeight="1" x14ac:dyDescent="0.2">
      <c r="A25" s="1"/>
      <c r="B25" s="1"/>
      <c r="C25" s="31" t="str">
        <f>'Budget 26-27'!C25</f>
        <v>Discretionary Expenses</v>
      </c>
      <c r="D25" s="69"/>
      <c r="E25" s="70">
        <f>'Budget 26-27'!E25</f>
        <v>750</v>
      </c>
      <c r="F25" s="71">
        <f>'Budget 26-27'!F25</f>
        <v>187.5</v>
      </c>
      <c r="G25" s="1"/>
      <c r="H25" s="94" t="s">
        <v>48</v>
      </c>
      <c r="I25" s="95"/>
      <c r="J25" s="108">
        <f t="shared" ref="J25:Y25" si="6">IF(J22&gt;0,J23-J22,"n.a.")</f>
        <v>3388.0933333333337</v>
      </c>
      <c r="K25" s="108">
        <f t="shared" si="6"/>
        <v>1816.5533333333333</v>
      </c>
      <c r="L25" s="108">
        <f t="shared" si="6"/>
        <v>2784.1933333333336</v>
      </c>
      <c r="M25" s="108">
        <f t="shared" si="6"/>
        <v>1317.4733333333334</v>
      </c>
      <c r="N25" s="108">
        <f t="shared" si="6"/>
        <v>2849.0633333333335</v>
      </c>
      <c r="O25" s="108">
        <f t="shared" si="6"/>
        <v>2349.0633333333335</v>
      </c>
      <c r="P25" s="108">
        <f t="shared" si="6"/>
        <v>2549.0633333333335</v>
      </c>
      <c r="Q25" s="108">
        <f t="shared" si="6"/>
        <v>2549.0633333333335</v>
      </c>
      <c r="R25" s="108">
        <f t="shared" si="6"/>
        <v>2549.0633333333335</v>
      </c>
      <c r="S25" s="108">
        <f t="shared" si="6"/>
        <v>2549.0633333333335</v>
      </c>
      <c r="T25" s="108">
        <f t="shared" si="6"/>
        <v>2549.0633333333335</v>
      </c>
      <c r="U25" s="108">
        <f t="shared" si="6"/>
        <v>-6400</v>
      </c>
      <c r="V25" s="108">
        <f t="shared" si="6"/>
        <v>-4400</v>
      </c>
      <c r="W25" s="108">
        <f t="shared" si="6"/>
        <v>-4400</v>
      </c>
      <c r="X25" s="108">
        <f t="shared" si="6"/>
        <v>-4400</v>
      </c>
      <c r="Y25" s="109">
        <f t="shared" si="6"/>
        <v>-11400</v>
      </c>
      <c r="Z25" s="1"/>
      <c r="AA25" s="1"/>
      <c r="AB25" s="1"/>
      <c r="AC25" s="1"/>
      <c r="AD25" s="1"/>
      <c r="AE25" s="1"/>
    </row>
    <row r="26" spans="1:31" ht="12" customHeight="1" x14ac:dyDescent="0.2">
      <c r="A26" s="1"/>
      <c r="B26" s="1"/>
      <c r="C26" s="31"/>
      <c r="D26" s="69"/>
      <c r="E26" s="110"/>
      <c r="F26" s="111"/>
      <c r="G26" s="1"/>
      <c r="H26" s="2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5"/>
      <c r="Z26" s="1"/>
      <c r="AA26" s="1"/>
      <c r="AB26" s="1"/>
      <c r="AC26" s="1"/>
      <c r="AD26" s="1"/>
      <c r="AE26" s="1"/>
    </row>
    <row r="27" spans="1:31" ht="12" customHeight="1" x14ac:dyDescent="0.2">
      <c r="A27" s="1"/>
      <c r="B27" s="1"/>
      <c r="C27" s="60" t="str">
        <f>'Budget 26-27'!C27</f>
        <v>Total Expenses</v>
      </c>
      <c r="D27" s="112"/>
      <c r="E27" s="113">
        <f>'Budget 26-27'!E27</f>
        <v>2114.0633333333335</v>
      </c>
      <c r="F27" s="114">
        <f>'Budget 26-27'!F27</f>
        <v>528.51583333333338</v>
      </c>
      <c r="G27" s="1"/>
      <c r="H27" s="14" t="s">
        <v>25</v>
      </c>
      <c r="I27" s="41"/>
      <c r="J27" s="17">
        <f t="shared" ref="J27:Y27" si="7">SUM(J11,-J22)</f>
        <v>2422.11</v>
      </c>
      <c r="K27" s="17">
        <f t="shared" si="7"/>
        <v>4098.7700000000004</v>
      </c>
      <c r="L27" s="17">
        <f t="shared" si="7"/>
        <v>4914.59</v>
      </c>
      <c r="M27" s="17">
        <f t="shared" si="7"/>
        <v>13369.259999999998</v>
      </c>
      <c r="N27" s="17">
        <f t="shared" si="7"/>
        <v>5633.666666666667</v>
      </c>
      <c r="O27" s="17">
        <f t="shared" si="7"/>
        <v>5133.666666666667</v>
      </c>
      <c r="P27" s="17">
        <f t="shared" si="7"/>
        <v>5333.666666666667</v>
      </c>
      <c r="Q27" s="17">
        <f t="shared" si="7"/>
        <v>5333.666666666667</v>
      </c>
      <c r="R27" s="17">
        <f t="shared" si="7"/>
        <v>5333.666666666667</v>
      </c>
      <c r="S27" s="17">
        <f t="shared" si="7"/>
        <v>5333.666666666667</v>
      </c>
      <c r="T27" s="17">
        <f t="shared" si="7"/>
        <v>5333.666666666667</v>
      </c>
      <c r="U27" s="17">
        <f t="shared" si="7"/>
        <v>-6400</v>
      </c>
      <c r="V27" s="17">
        <f t="shared" si="7"/>
        <v>-4400</v>
      </c>
      <c r="W27" s="17">
        <f t="shared" si="7"/>
        <v>-4400</v>
      </c>
      <c r="X27" s="17">
        <f t="shared" si="7"/>
        <v>-4400</v>
      </c>
      <c r="Y27" s="18">
        <f t="shared" si="7"/>
        <v>27100</v>
      </c>
      <c r="Z27" s="1"/>
      <c r="AA27" s="1"/>
      <c r="AB27" s="1"/>
      <c r="AC27" s="1"/>
      <c r="AD27" s="1"/>
      <c r="AE27" s="1"/>
    </row>
    <row r="28" spans="1:31" ht="12" customHeight="1" x14ac:dyDescent="0.2">
      <c r="A28" s="1"/>
      <c r="B28" s="1"/>
      <c r="C28" s="1"/>
      <c r="D28" s="1"/>
      <c r="E28" s="1"/>
      <c r="F28" s="1"/>
      <c r="G28" s="1"/>
      <c r="H28" s="115" t="s">
        <v>49</v>
      </c>
      <c r="I28" s="116"/>
      <c r="J28" s="117">
        <f t="shared" ref="J28:Y28" si="8">J27/J11</f>
        <v>0.67598546501892232</v>
      </c>
      <c r="K28" s="117">
        <f t="shared" si="8"/>
        <v>0.60000029277090094</v>
      </c>
      <c r="L28" s="117">
        <f t="shared" si="8"/>
        <v>0.73577654481050869</v>
      </c>
      <c r="M28" s="117">
        <f t="shared" si="8"/>
        <v>0.80533587135598472</v>
      </c>
      <c r="N28" s="117">
        <f t="shared" si="8"/>
        <v>0.76819235489295945</v>
      </c>
      <c r="O28" s="117">
        <f t="shared" si="8"/>
        <v>0.7000136357438298</v>
      </c>
      <c r="P28" s="117">
        <f t="shared" si="8"/>
        <v>0.72728512340348173</v>
      </c>
      <c r="Q28" s="117">
        <f t="shared" si="8"/>
        <v>0.72728512340348173</v>
      </c>
      <c r="R28" s="117">
        <f t="shared" si="8"/>
        <v>0.72728512340348173</v>
      </c>
      <c r="S28" s="117">
        <f t="shared" si="8"/>
        <v>0.72728512340348173</v>
      </c>
      <c r="T28" s="117">
        <f t="shared" si="8"/>
        <v>0.72728512340348173</v>
      </c>
      <c r="U28" s="117" t="e">
        <f t="shared" si="8"/>
        <v>#DIV/0!</v>
      </c>
      <c r="V28" s="117" t="e">
        <f t="shared" si="8"/>
        <v>#DIV/0!</v>
      </c>
      <c r="W28" s="117" t="e">
        <f t="shared" si="8"/>
        <v>#DIV/0!</v>
      </c>
      <c r="X28" s="117" t="e">
        <f t="shared" si="8"/>
        <v>#DIV/0!</v>
      </c>
      <c r="Y28" s="118">
        <f t="shared" si="8"/>
        <v>0.70389610389610391</v>
      </c>
      <c r="Z28" s="1"/>
      <c r="AA28" s="1"/>
      <c r="AB28" s="1"/>
      <c r="AC28" s="1"/>
      <c r="AD28" s="1"/>
      <c r="AE28" s="1"/>
    </row>
    <row r="29" spans="1:31" ht="12" customHeight="1" x14ac:dyDescent="0.2">
      <c r="A29" s="1"/>
      <c r="B29" s="1"/>
      <c r="C29" s="4" t="str">
        <f>'Budget 26-27'!H23</f>
        <v>LIRR Ticket Calc</v>
      </c>
      <c r="D29" s="5"/>
      <c r="E29" s="6" t="str">
        <f>'Budget 26-27'!J23</f>
        <v>Per Month</v>
      </c>
      <c r="F29" s="7" t="str">
        <f>'Budget 26-27'!K23</f>
        <v>Per Week</v>
      </c>
      <c r="G29" s="1"/>
      <c r="H29" s="2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5"/>
      <c r="Z29" s="1"/>
      <c r="AA29" s="1"/>
      <c r="AB29" s="1"/>
      <c r="AC29" s="1"/>
      <c r="AD29" s="1"/>
      <c r="AE29" s="1"/>
    </row>
    <row r="30" spans="1:31" ht="12" customHeight="1" x14ac:dyDescent="0.2">
      <c r="A30" s="1"/>
      <c r="B30" s="1"/>
      <c r="C30" s="11" t="str">
        <f>'Budget 26-27'!H24</f>
        <v xml:space="preserve">Trips </v>
      </c>
      <c r="D30" s="69"/>
      <c r="E30" s="119">
        <f>'Budget 26-27'!J24</f>
        <v>32</v>
      </c>
      <c r="F30" s="120">
        <f>'Budget 26-27'!K24</f>
        <v>8</v>
      </c>
      <c r="G30" s="1"/>
      <c r="H30" s="121" t="s">
        <v>50</v>
      </c>
      <c r="I30" s="122"/>
      <c r="J30" s="123">
        <f>I31+J27</f>
        <v>2705.86</v>
      </c>
      <c r="K30" s="123">
        <f t="shared" ref="K30" si="9">J31+K27</f>
        <v>6884.6</v>
      </c>
      <c r="L30" s="123">
        <f t="shared" ref="L30:Y30" si="10">K30+L27</f>
        <v>11799.19</v>
      </c>
      <c r="M30" s="123">
        <f t="shared" si="10"/>
        <v>25168.449999999997</v>
      </c>
      <c r="N30" s="123">
        <f t="shared" si="10"/>
        <v>30802.116666666665</v>
      </c>
      <c r="O30" s="123">
        <f t="shared" si="10"/>
        <v>35935.783333333333</v>
      </c>
      <c r="P30" s="123">
        <f t="shared" si="10"/>
        <v>41269.449999999997</v>
      </c>
      <c r="Q30" s="123">
        <f t="shared" si="10"/>
        <v>46603.116666666661</v>
      </c>
      <c r="R30" s="123">
        <f t="shared" si="10"/>
        <v>51936.783333333326</v>
      </c>
      <c r="S30" s="123">
        <f t="shared" si="10"/>
        <v>57270.44999999999</v>
      </c>
      <c r="T30" s="123">
        <f t="shared" si="10"/>
        <v>62604.116666666654</v>
      </c>
      <c r="U30" s="123">
        <f t="shared" si="10"/>
        <v>56204.116666666654</v>
      </c>
      <c r="V30" s="123">
        <f t="shared" si="10"/>
        <v>51804.116666666654</v>
      </c>
      <c r="W30" s="123">
        <f t="shared" si="10"/>
        <v>47404.116666666654</v>
      </c>
      <c r="X30" s="123">
        <f t="shared" si="10"/>
        <v>43004.116666666654</v>
      </c>
      <c r="Y30" s="124">
        <f t="shared" si="10"/>
        <v>70104.116666666654</v>
      </c>
      <c r="Z30" s="1"/>
      <c r="AA30" s="1"/>
      <c r="AB30" s="1"/>
      <c r="AC30" s="1"/>
      <c r="AD30" s="1"/>
      <c r="AE30" s="1"/>
    </row>
    <row r="31" spans="1:31" ht="12" customHeight="1" x14ac:dyDescent="0.2">
      <c r="A31" s="1"/>
      <c r="B31" s="1"/>
      <c r="C31" s="27"/>
      <c r="D31" s="69"/>
      <c r="E31" s="125"/>
      <c r="F31" s="126"/>
      <c r="G31" s="1"/>
      <c r="H31" s="127" t="s">
        <v>51</v>
      </c>
      <c r="I31" s="73">
        <v>283.75</v>
      </c>
      <c r="J31" s="17">
        <f>3866.83-1161+80</f>
        <v>2785.83</v>
      </c>
      <c r="K31" s="17">
        <f>9655.89-2733.51+20</f>
        <v>6942.3799999999992</v>
      </c>
      <c r="L31" s="73">
        <v>11857</v>
      </c>
      <c r="M31" s="17">
        <f>27899.76-3232+584</f>
        <v>25251.759999999998</v>
      </c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101"/>
      <c r="Z31" s="1"/>
      <c r="AA31" s="1" t="s">
        <v>52</v>
      </c>
      <c r="AB31" s="1"/>
      <c r="AC31" s="1"/>
      <c r="AD31" s="1"/>
      <c r="AE31" s="1"/>
    </row>
    <row r="32" spans="1:31" ht="12" customHeight="1" x14ac:dyDescent="0.2">
      <c r="A32" s="1"/>
      <c r="B32" s="1"/>
      <c r="C32" s="11" t="str">
        <f>'Budget 26-27'!H26</f>
        <v>One Way Peak</v>
      </c>
      <c r="D32" s="128">
        <f>'Budget 26-27'!I26</f>
        <v>17.5</v>
      </c>
      <c r="E32" s="128">
        <f>'Budget 26-27'!J26</f>
        <v>560</v>
      </c>
      <c r="F32" s="129">
        <f>'Budget 26-27'!K26</f>
        <v>140</v>
      </c>
      <c r="G32" s="1"/>
      <c r="H32" s="130" t="s">
        <v>53</v>
      </c>
      <c r="I32" s="44"/>
      <c r="J32" s="131">
        <f>IFERROR(J31/'Budget 26-27'!K21,"n.a")</f>
        <v>0.20325094901222229</v>
      </c>
      <c r="K32" s="132">
        <f>IFERROR(K31/'Budget 26-27'!L21,"n.a")</f>
        <v>0.42098094956266946</v>
      </c>
      <c r="L32" s="132">
        <f>IFERROR(L31/'Budget 26-27'!M21,"n.a")</f>
        <v>0.61513117904552383</v>
      </c>
      <c r="M32" s="132">
        <f>IFERROR(M31/'Budget 26-27'!N21,"n.a")</f>
        <v>1.1446767552375701</v>
      </c>
      <c r="N32" s="132">
        <f>IFERROR(N31/'Budget 26-27'!O21,"n.a")</f>
        <v>0</v>
      </c>
      <c r="O32" s="132">
        <f>IFERROR(O31/'Budget 26-27'!P21,"n.a")</f>
        <v>0</v>
      </c>
      <c r="P32" s="132">
        <f>IFERROR(P31/'Budget 26-27'!Q21,"n.a")</f>
        <v>0</v>
      </c>
      <c r="Q32" s="132">
        <f>IFERROR(Q31/'Budget 26-27'!R21,"n.a")</f>
        <v>0</v>
      </c>
      <c r="R32" s="132">
        <f>IFERROR(R31/'Budget 26-27'!S21,"n.a")</f>
        <v>0</v>
      </c>
      <c r="S32" s="132">
        <f>IFERROR(S31/'Budget 26-27'!T21,"n.a")</f>
        <v>0</v>
      </c>
      <c r="T32" s="132">
        <f>IFERROR(T31/'Budget 26-27'!U21,"n.a")</f>
        <v>0</v>
      </c>
      <c r="U32" s="132" t="str">
        <f>IFERROR(U31/'Budget 26-27'!V21,"n.a")</f>
        <v>n.a</v>
      </c>
      <c r="V32" s="132" t="str">
        <f>IFERROR(V31/'Budget 26-27'!W21,"n.a")</f>
        <v>n.a</v>
      </c>
      <c r="W32" s="132" t="str">
        <f>IFERROR(W31/'Budget 26-27'!X21,"n.a")</f>
        <v>n.a</v>
      </c>
      <c r="X32" s="132" t="str">
        <f>IFERROR(X31/'Budget 26-27'!Y21,"n.a")</f>
        <v>n.a</v>
      </c>
      <c r="Y32" s="133" t="str">
        <f>IFERROR(Y31/'Budget 26-27'!Z21,"n.a")</f>
        <v>n.a</v>
      </c>
      <c r="Z32" s="1"/>
      <c r="AA32" s="1"/>
      <c r="AB32" s="1"/>
      <c r="AC32" s="1"/>
      <c r="AD32" s="1"/>
      <c r="AE32" s="1"/>
    </row>
    <row r="33" spans="1:31" ht="12" customHeight="1" x14ac:dyDescent="0.2">
      <c r="A33" s="1"/>
      <c r="B33" s="1"/>
      <c r="C33" s="11" t="str">
        <f>'Budget 26-27'!H27</f>
        <v>Monthly</v>
      </c>
      <c r="D33" s="69"/>
      <c r="E33" s="70">
        <f>'Budget 26-27'!J27</f>
        <v>341</v>
      </c>
      <c r="F33" s="129">
        <f>'Budget 26-27'!K27</f>
        <v>85.25</v>
      </c>
      <c r="G33" s="1"/>
      <c r="H33" s="40"/>
      <c r="I33" s="1"/>
      <c r="J33" s="110"/>
      <c r="K33" s="13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2" customHeight="1" x14ac:dyDescent="0.2">
      <c r="A34" s="1"/>
      <c r="B34" s="1"/>
      <c r="C34" s="63"/>
      <c r="D34" s="98"/>
      <c r="E34" s="135"/>
      <c r="F34" s="136">
        <f>'Budget 26-27'!K28</f>
        <v>10.65625</v>
      </c>
      <c r="G34" s="1"/>
      <c r="H34" s="137" t="s">
        <v>54</v>
      </c>
      <c r="I34" s="138"/>
      <c r="J34" s="139">
        <f t="array" ref="J34">SUM(J11:Y11,-J22:Y22)</f>
        <v>69740.396666666682</v>
      </c>
      <c r="K34" s="134"/>
      <c r="L34" s="13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2" customHeight="1" x14ac:dyDescent="0.2">
      <c r="A37" s="1"/>
      <c r="B37" s="1"/>
      <c r="C37" s="1"/>
      <c r="D37" s="1"/>
      <c r="E37" s="1"/>
      <c r="F37" s="1"/>
      <c r="G37" s="1"/>
      <c r="H37" s="140"/>
      <c r="I37" s="141">
        <v>1</v>
      </c>
      <c r="J37" s="142"/>
      <c r="K37" s="1"/>
      <c r="L37" s="143">
        <f>430+85+64</f>
        <v>579</v>
      </c>
      <c r="M37" s="143"/>
      <c r="N37" s="143">
        <f>191+42+7+21+7+7.5+45+13.3+85+125</f>
        <v>543.79999999999995</v>
      </c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1"/>
      <c r="AA37" s="1"/>
      <c r="AB37" s="1"/>
      <c r="AC37" s="1"/>
      <c r="AD37" s="1"/>
      <c r="AE37" s="1"/>
    </row>
    <row r="38" spans="1:31" ht="12" customHeight="1" x14ac:dyDescent="0.2">
      <c r="A38" s="1"/>
      <c r="B38" s="1"/>
      <c r="C38" s="1"/>
      <c r="D38" s="1"/>
      <c r="E38" s="1"/>
      <c r="F38" s="1"/>
      <c r="G38" s="1"/>
      <c r="H38" s="144" t="s">
        <v>55</v>
      </c>
      <c r="I38" s="141">
        <v>2</v>
      </c>
      <c r="J38" s="142"/>
      <c r="K38" s="1"/>
      <c r="L38" s="143">
        <f>345+85+6</f>
        <v>436</v>
      </c>
      <c r="M38" s="143"/>
      <c r="N38" s="143">
        <f>200+85</f>
        <v>285</v>
      </c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1"/>
      <c r="AA38" s="1"/>
      <c r="AB38" s="1"/>
      <c r="AC38" s="1"/>
      <c r="AD38" s="1"/>
      <c r="AE38" s="1"/>
    </row>
    <row r="39" spans="1:31" ht="12" customHeight="1" x14ac:dyDescent="0.2">
      <c r="A39" s="1"/>
      <c r="B39" s="1"/>
      <c r="C39" s="1"/>
      <c r="D39" s="1"/>
      <c r="E39" s="1"/>
      <c r="F39" s="1"/>
      <c r="G39" s="1"/>
      <c r="H39" s="145"/>
      <c r="I39" s="141">
        <v>3</v>
      </c>
      <c r="J39" s="142"/>
      <c r="K39" s="1"/>
      <c r="L39" s="143">
        <f>200+35+35+50+85</f>
        <v>405</v>
      </c>
      <c r="M39" s="143"/>
      <c r="N39" s="143">
        <f>350+85</f>
        <v>435</v>
      </c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1"/>
      <c r="AA39" s="1"/>
      <c r="AB39" s="1"/>
      <c r="AC39" s="1"/>
      <c r="AD39" s="1"/>
      <c r="AE39" s="1"/>
    </row>
    <row r="40" spans="1:31" ht="12" customHeight="1" x14ac:dyDescent="0.2">
      <c r="A40" s="1"/>
      <c r="B40" s="1"/>
      <c r="C40" s="1"/>
      <c r="D40" s="1"/>
      <c r="E40" s="1"/>
      <c r="F40" s="1"/>
      <c r="G40" s="1"/>
      <c r="H40" s="145"/>
      <c r="I40" s="141">
        <v>4</v>
      </c>
      <c r="J40" s="146"/>
      <c r="K40" s="25"/>
      <c r="L40" s="147">
        <f>85+100+40</f>
        <v>225</v>
      </c>
      <c r="M40" s="147"/>
      <c r="N40" s="147">
        <f>300+85</f>
        <v>385</v>
      </c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1"/>
      <c r="AA40" s="1"/>
      <c r="AB40" s="1"/>
      <c r="AC40" s="1"/>
      <c r="AD40" s="1"/>
      <c r="AE40" s="1"/>
    </row>
    <row r="41" spans="1:31" ht="12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8">
        <f t="shared" ref="L41:Y41" si="11">SUM(L37:L40)</f>
        <v>1645</v>
      </c>
      <c r="M41" s="148">
        <f t="shared" si="11"/>
        <v>0</v>
      </c>
      <c r="N41" s="148">
        <f t="shared" si="11"/>
        <v>1648.8</v>
      </c>
      <c r="O41" s="148">
        <f t="shared" si="11"/>
        <v>0</v>
      </c>
      <c r="P41" s="148">
        <f t="shared" si="11"/>
        <v>0</v>
      </c>
      <c r="Q41" s="28">
        <f t="shared" si="11"/>
        <v>0</v>
      </c>
      <c r="R41" s="28">
        <f t="shared" si="11"/>
        <v>0</v>
      </c>
      <c r="S41" s="28">
        <f t="shared" si="11"/>
        <v>0</v>
      </c>
      <c r="T41" s="28">
        <f t="shared" si="11"/>
        <v>0</v>
      </c>
      <c r="U41" s="28">
        <f t="shared" si="11"/>
        <v>0</v>
      </c>
      <c r="V41" s="28">
        <f t="shared" si="11"/>
        <v>0</v>
      </c>
      <c r="W41" s="28">
        <f t="shared" si="11"/>
        <v>0</v>
      </c>
      <c r="X41" s="28">
        <f t="shared" si="11"/>
        <v>0</v>
      </c>
      <c r="Y41" s="28">
        <f t="shared" si="11"/>
        <v>0</v>
      </c>
      <c r="Z41" s="1"/>
      <c r="AA41" s="1"/>
      <c r="AB41" s="1"/>
      <c r="AC41" s="1"/>
      <c r="AD41" s="1"/>
      <c r="AE41" s="1"/>
    </row>
    <row r="42" spans="1:31" ht="12" customHeight="1" x14ac:dyDescent="0.2">
      <c r="A42" s="1"/>
      <c r="B42" s="1"/>
      <c r="C42" s="1"/>
      <c r="D42" s="1"/>
      <c r="E42" s="1"/>
      <c r="F42" s="1"/>
      <c r="G42" s="1"/>
      <c r="H42" s="1"/>
      <c r="I42" s="1" t="s">
        <v>56</v>
      </c>
      <c r="J42" s="1"/>
      <c r="K42" s="1"/>
      <c r="L42" s="149">
        <f t="shared" ref="L42:M42" si="12">L43*4</f>
        <v>1764.87</v>
      </c>
      <c r="M42" s="149">
        <f t="shared" si="12"/>
        <v>3231.59</v>
      </c>
      <c r="N42" s="1"/>
      <c r="O42" s="150"/>
      <c r="P42" s="150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" customHeight="1" x14ac:dyDescent="0.2">
      <c r="A43" s="1"/>
      <c r="B43" s="1"/>
      <c r="C43" s="1"/>
      <c r="D43" s="1"/>
      <c r="E43" s="1"/>
      <c r="F43" s="1"/>
      <c r="G43" s="1"/>
      <c r="H43" s="1"/>
      <c r="I43" s="1" t="s">
        <v>57</v>
      </c>
      <c r="J43" s="1"/>
      <c r="K43" s="1"/>
      <c r="L43" s="151">
        <f t="shared" ref="L43:Y43" si="13">L22/4</f>
        <v>441.21749999999997</v>
      </c>
      <c r="M43" s="151">
        <f t="shared" si="13"/>
        <v>807.89750000000004</v>
      </c>
      <c r="N43" s="151">
        <f t="shared" si="13"/>
        <v>425</v>
      </c>
      <c r="O43" s="151">
        <f t="shared" si="13"/>
        <v>550</v>
      </c>
      <c r="P43" s="151">
        <f t="shared" si="13"/>
        <v>500</v>
      </c>
      <c r="Q43" s="151">
        <f t="shared" si="13"/>
        <v>500</v>
      </c>
      <c r="R43" s="151">
        <f t="shared" si="13"/>
        <v>500</v>
      </c>
      <c r="S43" s="151">
        <f t="shared" si="13"/>
        <v>500</v>
      </c>
      <c r="T43" s="151">
        <f t="shared" si="13"/>
        <v>500</v>
      </c>
      <c r="U43" s="151">
        <f t="shared" si="13"/>
        <v>1600</v>
      </c>
      <c r="V43" s="151">
        <f t="shared" si="13"/>
        <v>1100</v>
      </c>
      <c r="W43" s="151">
        <f t="shared" si="13"/>
        <v>1100</v>
      </c>
      <c r="X43" s="151">
        <f t="shared" si="13"/>
        <v>1100</v>
      </c>
      <c r="Y43" s="151">
        <f t="shared" si="13"/>
        <v>2850</v>
      </c>
      <c r="Z43" s="1"/>
      <c r="AA43" s="1"/>
      <c r="AB43" s="1"/>
      <c r="AC43" s="1"/>
      <c r="AD43" s="1"/>
      <c r="AE43" s="1"/>
    </row>
    <row r="44" spans="1:31" ht="12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5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6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6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conditionalFormatting sqref="J25:Y25">
    <cfRule type="cellIs" dxfId="2" priority="1" operator="equal">
      <formula>"n.a."</formula>
    </cfRule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26-27</vt:lpstr>
      <vt:lpstr>Actual 26-27</vt:lpstr>
      <vt:lpstr>455 West 37th Street</vt:lpstr>
      <vt:lpstr>455 West 37th Rent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whitcomb</dc:creator>
  <cp:lastModifiedBy>Whitcomb, Peter</cp:lastModifiedBy>
  <dcterms:created xsi:type="dcterms:W3CDTF">2025-08-21T13:25:44Z</dcterms:created>
  <dcterms:modified xsi:type="dcterms:W3CDTF">2026-08-20T00:08:03Z</dcterms:modified>
</cp:coreProperties>
</file>